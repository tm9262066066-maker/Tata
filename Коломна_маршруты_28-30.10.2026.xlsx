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сотрудникам" sheetId="1" state="visible" r:id="rId1"/>
    <sheet name="Маршруты" sheetId="2" state="visible" r:id="rId2"/>
    <sheet name="Авто" sheetId="3" state="visible" r:id="rId3"/>
    <sheet name="Группы такси" sheetId="4" state="visible" r:id="rId4"/>
    <sheet name="Как добраться до гостиницы" sheetId="5" state="visible" r:id="rId5"/>
    <sheet name="Правила и допущения" sheetId="6" state="visible" r:id="rId6"/>
  </sheets>
  <definedNames>
    <definedName name="_xlnm._FilterDatabase" localSheetId="0" hidden="1">'Сводка по сотрудникам'!$A$4:$U$68</definedName>
    <definedName name="_xlnm._FilterDatabase" localSheetId="1" hidden="1">'Маршруты'!$A$1:$S$120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0" fontId="2" fillId="0" borderId="0" pivotButton="0" quotePrefix="0" xfId="0"/>
    <xf numFmtId="164" fontId="2" fillId="7" borderId="1" pivotButton="0" quotePrefix="0" xfId="0"/>
    <xf numFmtId="0" fontId="4" fillId="0" borderId="0" pivotButton="0" quotePrefix="0" xfId="0"/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64" fontId="0" fillId="6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via.tutu.ru/f/Omsk/Moskva/?class=Y&amp;travelers=1&amp;route[0]=62-28102026-491" TargetMode="External" Id="rId1" /><Relationship Type="http://schemas.openxmlformats.org/officeDocument/2006/relationships/hyperlink" Target="https://avia.tutu.ru/f/Omsk/Moskva/?class=Y&amp;travelers=1&amp;route[0]=62-27102026-491" TargetMode="External" Id="rId2" /><Relationship Type="http://schemas.openxmlformats.org/officeDocument/2006/relationships/hyperlink" Target="https://avia.tutu.ru/f/Moskva/Omsk/?class=Y&amp;travelers=1&amp;route[0]=491-30102026-62" TargetMode="External" Id="rId3" /><Relationship Type="http://schemas.openxmlformats.org/officeDocument/2006/relationships/hyperlink" Target="https://avia.tutu.ru/f/Moskva/Omsk/?class=Y&amp;travelers=1&amp;route[0]=491-31102026-62" TargetMode="External" Id="rId4" /><Relationship Type="http://schemas.openxmlformats.org/officeDocument/2006/relationships/hyperlink" Target="https://avia.tutu.ru/f/Ufa/Moskva/?class=Y&amp;travelers=1&amp;route[0]=93-28102026-491" TargetMode="External" Id="rId5" /><Relationship Type="http://schemas.openxmlformats.org/officeDocument/2006/relationships/hyperlink" Target="https://avia.tutu.ru/f/Ufa/Moskva/?class=Y&amp;travelers=1&amp;route[0]=93-28102026-491" TargetMode="External" Id="rId6" /><Relationship Type="http://schemas.openxmlformats.org/officeDocument/2006/relationships/hyperlink" Target="https://avia.tutu.ru/f/Moskva/Ufa/?class=Y&amp;travelers=1&amp;route[0]=491-30102026-93" TargetMode="External" Id="rId7" /><Relationship Type="http://schemas.openxmlformats.org/officeDocument/2006/relationships/hyperlink" Target="https://avia.tutu.ru/f/Moskva/Ufa/?class=Y&amp;travelers=1&amp;route[0]=491-31102026-93" TargetMode="External" Id="rId8" /><Relationship Type="http://schemas.openxmlformats.org/officeDocument/2006/relationships/hyperlink" Target="https://avia.tutu.ru/f/Ekaterinburg/Moskva/?class=Y&amp;travelers=1&amp;route[0]=29-28102026-491" TargetMode="External" Id="rId9" /><Relationship Type="http://schemas.openxmlformats.org/officeDocument/2006/relationships/hyperlink" Target="https://avia.tutu.ru/f/Ekaterinburg/Moskva/?class=Y&amp;travelers=1&amp;route[0]=29-28102026-491" TargetMode="External" Id="rId10" /><Relationship Type="http://schemas.openxmlformats.org/officeDocument/2006/relationships/hyperlink" Target="https://avia.tutu.ru/f/Moskva/Ekaterinburg/?class=Y&amp;travelers=1&amp;route[0]=491-30102026-29" TargetMode="External" Id="rId11" /><Relationship Type="http://schemas.openxmlformats.org/officeDocument/2006/relationships/hyperlink" Target="https://avia.tutu.ru/f/Moskva/Ekaterinburg/?class=Y&amp;travelers=1&amp;route[0]=491-31102026-29" TargetMode="External" Id="rId12" /><Relationship Type="http://schemas.openxmlformats.org/officeDocument/2006/relationships/hyperlink" Target="https://avia.tutu.ru/f/Novosibirsk/Moskva/?class=Y&amp;travelers=1&amp;route[0]=58-28102026-491" TargetMode="External" Id="rId13" /><Relationship Type="http://schemas.openxmlformats.org/officeDocument/2006/relationships/hyperlink" Target="https://avia.tutu.ru/f/Novosibirsk/Moskva/?class=Y&amp;travelers=1&amp;route[0]=58-28102026-491" TargetMode="External" Id="rId14" /><Relationship Type="http://schemas.openxmlformats.org/officeDocument/2006/relationships/hyperlink" Target="https://avia.tutu.ru/f/Moskva/Novosibirsk/?class=Y&amp;travelers=1&amp;route[0]=491-31102026-58" TargetMode="External" Id="rId15" /><Relationship Type="http://schemas.openxmlformats.org/officeDocument/2006/relationships/hyperlink" Target="https://avia.tutu.ru/f/Moskva/Novosibirsk/?class=Y&amp;travelers=1&amp;route[0]=491-31102026-58" TargetMode="External" Id="rId16" /><Relationship Type="http://schemas.openxmlformats.org/officeDocument/2006/relationships/hyperlink" Target="https://avia.tutu.ru/" TargetMode="External" Id="rId17" /><Relationship Type="http://schemas.openxmlformats.org/officeDocument/2006/relationships/hyperlink" Target="https://avia.tutu.ru/" TargetMode="External" Id="rId18" /><Relationship Type="http://schemas.openxmlformats.org/officeDocument/2006/relationships/hyperlink" Target="https://avia.tutu.ru/" TargetMode="External" Id="rId19" /><Relationship Type="http://schemas.openxmlformats.org/officeDocument/2006/relationships/hyperlink" Target="https://avia.tutu.ru/" TargetMode="External" Id="rId20" /><Relationship Type="http://schemas.openxmlformats.org/officeDocument/2006/relationships/hyperlink" Target="https://avia.tutu.ru/" TargetMode="External" Id="rId21" /><Relationship Type="http://schemas.openxmlformats.org/officeDocument/2006/relationships/hyperlink" Target="https://avia.tutu.ru/" TargetMode="External" Id="rId22" /><Relationship Type="http://schemas.openxmlformats.org/officeDocument/2006/relationships/hyperlink" Target="https://avia.tutu.ru/" TargetMode="External" Id="rId23" /><Relationship Type="http://schemas.openxmlformats.org/officeDocument/2006/relationships/hyperlink" Target="https://avia.tutu.ru/" TargetMode="External" Id="rId24" /><Relationship Type="http://schemas.openxmlformats.org/officeDocument/2006/relationships/hyperlink" Target="https://avia.tutu.ru/" TargetMode="External" Id="rId25" /><Relationship Type="http://schemas.openxmlformats.org/officeDocument/2006/relationships/hyperlink" Target="https://avia.tutu.ru/" TargetMode="External" Id="rId26" /><Relationship Type="http://schemas.openxmlformats.org/officeDocument/2006/relationships/hyperlink" Target="https://avia.tutu.ru/" TargetMode="External" Id="rId27" /><Relationship Type="http://schemas.openxmlformats.org/officeDocument/2006/relationships/hyperlink" Target="https://avia.tutu.ru/" TargetMode="External" Id="rId28" /><Relationship Type="http://schemas.openxmlformats.org/officeDocument/2006/relationships/hyperlink" Target="https://avia.tutu.ru/" TargetMode="External" Id="rId29" /><Relationship Type="http://schemas.openxmlformats.org/officeDocument/2006/relationships/hyperlink" Target="https://avia.tutu.ru/" TargetMode="External" Id="rId30" /><Relationship Type="http://schemas.openxmlformats.org/officeDocument/2006/relationships/hyperlink" Target="https://avia.tutu.ru/" TargetMode="External" Id="rId31" /><Relationship Type="http://schemas.openxmlformats.org/officeDocument/2006/relationships/hyperlink" Target="https://avia.tutu.ru/" TargetMode="External" Id="rId32" /><Relationship Type="http://schemas.openxmlformats.org/officeDocument/2006/relationships/hyperlink" Target="https://avia.tutu.ru/" TargetMode="External" Id="rId33" /><Relationship Type="http://schemas.openxmlformats.org/officeDocument/2006/relationships/hyperlink" Target="https://avia.tutu.ru/f/Chita/Moskva/?class=Y&amp;travelers=1&amp;route[0]=100-28102026-491" TargetMode="External" Id="rId34" /><Relationship Type="http://schemas.openxmlformats.org/officeDocument/2006/relationships/hyperlink" Target="https://avia.tutu.ru/f/Chita/Moskva/?class=Y&amp;travelers=1&amp;route[0]=100-28102026-491" TargetMode="External" Id="rId35" /><Relationship Type="http://schemas.openxmlformats.org/officeDocument/2006/relationships/hyperlink" Target="https://avia.tutu.ru/f/Moskva/Chita/?class=Y&amp;travelers=1&amp;route[0]=491-31102026-100" TargetMode="External" Id="rId36" /><Relationship Type="http://schemas.openxmlformats.org/officeDocument/2006/relationships/hyperlink" Target="https://www.tutu.ru/poezda/" TargetMode="External" Id="rId37" /><Relationship Type="http://schemas.openxmlformats.org/officeDocument/2006/relationships/hyperlink" Target="https://avia.tutu.ru/f/Samara/Moskva/?class=Y&amp;travelers=1&amp;route[0]=74-28102026-491" TargetMode="External" Id="rId38" /><Relationship Type="http://schemas.openxmlformats.org/officeDocument/2006/relationships/hyperlink" Target="https://www.tutu.ru/poezda/" TargetMode="External" Id="rId39" /><Relationship Type="http://schemas.openxmlformats.org/officeDocument/2006/relationships/hyperlink" Target="https://avia.tutu.ru/f/Moskva/Samara/?class=Y&amp;travelers=1&amp;route[0]=491-31102026-74" TargetMode="External" Id="rId40" /><Relationship Type="http://schemas.openxmlformats.org/officeDocument/2006/relationships/hyperlink" Target="https://www.tutu.ru/poezda/" TargetMode="External" Id="rId41" /><Relationship Type="http://schemas.openxmlformats.org/officeDocument/2006/relationships/hyperlink" Target="https://avia.tutu.ru/f/Saratov/Moskva/?class=Y&amp;travelers=1&amp;route[0]=77-28102026-491" TargetMode="External" Id="rId42" /><Relationship Type="http://schemas.openxmlformats.org/officeDocument/2006/relationships/hyperlink" Target="https://avia.tutu.ru/f/Moskva/Saratov/?class=Y&amp;travelers=1&amp;route[0]=491-31102026-77" TargetMode="External" Id="rId43" /><Relationship Type="http://schemas.openxmlformats.org/officeDocument/2006/relationships/hyperlink" Target="https://avia.tutu.ru/f/Kazan/Moskva/?class=Y&amp;travelers=1&amp;route[0]=33-28102026-491" TargetMode="External" Id="rId44" /><Relationship Type="http://schemas.openxmlformats.org/officeDocument/2006/relationships/hyperlink" Target="https://avia.tutu.ru/f/Kazan/Moskva/?class=Y&amp;travelers=1&amp;route[0]=33-28102026-491" TargetMode="External" Id="rId45" /><Relationship Type="http://schemas.openxmlformats.org/officeDocument/2006/relationships/hyperlink" Target="https://www.tutu.ru/poezda/" TargetMode="External" Id="rId46" /><Relationship Type="http://schemas.openxmlformats.org/officeDocument/2006/relationships/hyperlink" Target="https://avia.tutu.ru/f/Moskva/Kazan/?class=Y&amp;travelers=1&amp;route[0]=491-31102026-33" TargetMode="External" Id="rId47" /><Relationship Type="http://schemas.openxmlformats.org/officeDocument/2006/relationships/hyperlink" Target="https://avia.tutu.ru/f/Izhevsk/Moskva/?class=Y&amp;travelers=1&amp;route[0]=30-28102026-491" TargetMode="External" Id="rId48" /><Relationship Type="http://schemas.openxmlformats.org/officeDocument/2006/relationships/hyperlink" Target="https://avia.tutu.ru/f/Moskva/Izhevsk/?class=Y&amp;travelers=1&amp;route[0]=491-31102026-30" TargetMode="External" Id="rId49" /><Relationship Type="http://schemas.openxmlformats.org/officeDocument/2006/relationships/hyperlink" Target="https://avia.tutu.ru/f/Nizhnekamsk/Moskva/?class=Y&amp;travelers=1&amp;route[0]=537-28102026-491" TargetMode="External" Id="rId50" /><Relationship Type="http://schemas.openxmlformats.org/officeDocument/2006/relationships/hyperlink" Target="https://avia.tutu.ru/f/Moskva/Nizhnekamsk/?class=Y&amp;travelers=1&amp;route[0]=491-31102026-537" TargetMode="External" Id="rId51" /><Relationship Type="http://schemas.openxmlformats.org/officeDocument/2006/relationships/hyperlink" Target="https://avia.tutu.ru/" TargetMode="External" Id="rId52" /><Relationship Type="http://schemas.openxmlformats.org/officeDocument/2006/relationships/hyperlink" Target="https://avia.tutu.ru/" TargetMode="External" Id="rId53" /><Relationship Type="http://schemas.openxmlformats.org/officeDocument/2006/relationships/hyperlink" Target="https://avia.tutu.ru/" TargetMode="External" Id="rId54" /><Relationship Type="http://schemas.openxmlformats.org/officeDocument/2006/relationships/hyperlink" Target="https://avia.tutu.ru/f/Ulyanovsk/Moskva/?class=Y&amp;travelers=1&amp;route[0]=88-28102026-491" TargetMode="External" Id="rId55" /><Relationship Type="http://schemas.openxmlformats.org/officeDocument/2006/relationships/hyperlink" Target="https://avia.tutu.ru/f/Moskva/Ulyanovsk/?class=Y&amp;travelers=1&amp;route[0]=491-31102026-88" TargetMode="External" Id="rId56" /><Relationship Type="http://schemas.openxmlformats.org/officeDocument/2006/relationships/hyperlink" Target="https://avia.tutu.ru/f/Cheboksary/Moskva/?class=Y&amp;travelers=1&amp;route[0]=97-28102026-491" TargetMode="External" Id="rId57" /><Relationship Type="http://schemas.openxmlformats.org/officeDocument/2006/relationships/hyperlink" Target="https://www.tutu.ru/poezda/" TargetMode="External" Id="rId58" /><Relationship Type="http://schemas.openxmlformats.org/officeDocument/2006/relationships/hyperlink" Target="https://avia.tutu.ru/f/Moskva/Cheboksary/?class=Y&amp;travelers=1&amp;route[0]=491-31102026-97" TargetMode="External" Id="rId59" /><Relationship Type="http://schemas.openxmlformats.org/officeDocument/2006/relationships/hyperlink" Target="https://avia.tutu.ru/f/Astrakhan/Moskva/?class=Y&amp;travelers=1&amp;route[0]=12-28102026-491" TargetMode="External" Id="rId60" /><Relationship Type="http://schemas.openxmlformats.org/officeDocument/2006/relationships/hyperlink" Target="https://avia.tutu.ru/f/Moskva/Astrakhan/?class=Y&amp;travelers=1&amp;route[0]=491-31102026-12" TargetMode="External" Id="rId61" /><Relationship Type="http://schemas.openxmlformats.org/officeDocument/2006/relationships/hyperlink" Target="https://avia.tutu.ru/f/Volgograd/Moskva/?class=Y&amp;travelers=1&amp;route[0]=23-28102026-491" TargetMode="External" Id="rId62" /><Relationship Type="http://schemas.openxmlformats.org/officeDocument/2006/relationships/hyperlink" Target="https://avia.tutu.ru/f/Moskva/Volgograd/?class=Y&amp;travelers=1&amp;route[0]=491-31102026-23" TargetMode="External" Id="rId63" /><Relationship Type="http://schemas.openxmlformats.org/officeDocument/2006/relationships/hyperlink" Target="https://www.tutu.ru/poezda/rasp_d.php?date=28.10.2026&amp;nnst1=2014370&amp;nnst2=2000000" TargetMode="External" Id="rId64" /><Relationship Type="http://schemas.openxmlformats.org/officeDocument/2006/relationships/hyperlink" Target="https://www.tutu.ru/poezda/rasp_d.php?date=30.10.2026&amp;nnst1=2000000&amp;nnst2=2014370" TargetMode="External" Id="rId65" /><Relationship Type="http://schemas.openxmlformats.org/officeDocument/2006/relationships/hyperlink" Target="https://www.tutu.ru/poezda/rasp_d.php?date=31.10.2026&amp;nnst1=2000000&amp;nnst2=2014370" TargetMode="External" Id="rId66" /><Relationship Type="http://schemas.openxmlformats.org/officeDocument/2006/relationships/hyperlink" Target="https://vekspress-bus.ru/marshrutyi/doneczk-moskva.html" TargetMode="External" Id="rId67" /><Relationship Type="http://schemas.openxmlformats.org/officeDocument/2006/relationships/hyperlink" Target="https://www.tutu.ru/poezda/rasp_d.php?date=27.10.2026&amp;nnst1=2064000&amp;nnst2=2000000" TargetMode="External" Id="rId68" /><Relationship Type="http://schemas.openxmlformats.org/officeDocument/2006/relationships/hyperlink" Target="https://vekspress-bus.ru/marshrutyi/doneczk-moskva.html" TargetMode="External" Id="rId69" /><Relationship Type="http://schemas.openxmlformats.org/officeDocument/2006/relationships/hyperlink" Target="https://www.tutu.ru/poezda/rasp_d.php?date=30.10.2026&amp;nnst1=2000000&amp;nnst2=2064000" TargetMode="External" Id="rId70" /><Relationship Type="http://schemas.openxmlformats.org/officeDocument/2006/relationships/hyperlink" Target="https://avia.tutu.ru/f/Ekaterinburg/Moskva/?class=Y&amp;travelers=1&amp;route[0]=29-28102026-491" TargetMode="External" Id="rId71" /><Relationship Type="http://schemas.openxmlformats.org/officeDocument/2006/relationships/hyperlink" Target="https://avia.tutu.ru/f/Ekaterinburg/Moskva/?class=Y&amp;travelers=1&amp;route[0]=29-28102026-491" TargetMode="External" Id="rId72" /><Relationship Type="http://schemas.openxmlformats.org/officeDocument/2006/relationships/hyperlink" Target="https://avia.tutu.ru/f/Moskva/Ekaterinburg/?class=Y&amp;travelers=1&amp;route[0]=491-30102026-29" TargetMode="External" Id="rId73" /><Relationship Type="http://schemas.openxmlformats.org/officeDocument/2006/relationships/hyperlink" Target="https://avia.tutu.ru/f/Moskva/Ekaterinburg/?class=Y&amp;travelers=1&amp;route[0]=491-31102026-29" TargetMode="External" Id="rId74" /><Relationship Type="http://schemas.openxmlformats.org/officeDocument/2006/relationships/hyperlink" Target="https://avia.tutu.ru/f/Magnitogorsk/Moskva/?class=Y&amp;travelers=1&amp;route[0]=45-28102026-491" TargetMode="External" Id="rId75" /><Relationship Type="http://schemas.openxmlformats.org/officeDocument/2006/relationships/hyperlink" Target="https://avia.tutu.ru/f/Moskva/Magnitogorsk/?class=Y&amp;travelers=1&amp;route[0]=491-31102026-45" TargetMode="External" Id="rId76" /><Relationship Type="http://schemas.openxmlformats.org/officeDocument/2006/relationships/hyperlink" Target="https://avia.tutu.ru/f/Moskva/Chelyabinsk/?class=Y&amp;travelers=1&amp;route[0]=491-31102026-98" TargetMode="External" Id="rId77" /><Relationship Type="http://schemas.openxmlformats.org/officeDocument/2006/relationships/hyperlink" Target="https://avia.tutu.ru/f/Chelyabinsk/Moskva/?class=Y&amp;travelers=1&amp;route[0]=98-28102026-491" TargetMode="External" Id="rId78" /><Relationship Type="http://schemas.openxmlformats.org/officeDocument/2006/relationships/hyperlink" Target="https://avia.tutu.ru/f/Chelyabinsk/Moskva/?class=Y&amp;travelers=1&amp;route[0]=98-28102026-491" TargetMode="External" Id="rId79" /><Relationship Type="http://schemas.openxmlformats.org/officeDocument/2006/relationships/hyperlink" Target="https://avia.tutu.ru/f/Moskva/Chelyabinsk/?class=Y&amp;travelers=1&amp;route[0]=491-30102026-98" TargetMode="External" Id="rId80" /><Relationship Type="http://schemas.openxmlformats.org/officeDocument/2006/relationships/hyperlink" Target="https://avia.tutu.ru/f/Moskva/Chelyabinsk/?class=Y&amp;travelers=1&amp;route[0]=491-31102026-98" TargetMode="External" Id="rId81" /><Relationship Type="http://schemas.openxmlformats.org/officeDocument/2006/relationships/hyperlink" Target="https://avia.tutu.ru/f/Tyumen/Moskva/?class=Y&amp;travelers=1&amp;route[0]=86-28102026-491" TargetMode="External" Id="rId82" /><Relationship Type="http://schemas.openxmlformats.org/officeDocument/2006/relationships/hyperlink" Target="https://avia.tutu.ru/f/Tyumen/Moskva/?class=Y&amp;travelers=1&amp;route[0]=86-28102026-491" TargetMode="External" Id="rId83" /><Relationship Type="http://schemas.openxmlformats.org/officeDocument/2006/relationships/hyperlink" Target="https://avia.tutu.ru/f/Moskva/Tyumen/?class=Y&amp;travelers=1&amp;route[0]=491-30102026-86" TargetMode="External" Id="rId84" /><Relationship Type="http://schemas.openxmlformats.org/officeDocument/2006/relationships/hyperlink" Target="https://avia.tutu.ru/f/Moskva/Tyumen/?class=Y&amp;travelers=1&amp;route[0]=491-31102026-86" TargetMode="External" Id="rId85" /><Relationship Type="http://schemas.openxmlformats.org/officeDocument/2006/relationships/hyperlink" Target="https://www.tutu.ru/poezda/rasp_d.php?date=28.10.2026&amp;nnst1=2004000&amp;nnst2=2000000" TargetMode="External" Id="rId86" /><Relationship Type="http://schemas.openxmlformats.org/officeDocument/2006/relationships/hyperlink" Target="https://www.tutu.ru/poezda/rasp_d.php?date=28.10.2026&amp;nnst1=2004000&amp;nnst2=2000000" TargetMode="External" Id="rId87" /><Relationship Type="http://schemas.openxmlformats.org/officeDocument/2006/relationships/hyperlink" Target="https://www.tutu.ru/poezda/rasp_d.php?date=30.10.2026&amp;nnst1=2000000&amp;nnst2=2004000" TargetMode="External" Id="rId88" /><Relationship Type="http://schemas.openxmlformats.org/officeDocument/2006/relationships/hyperlink" Target="https://www.tutu.ru/poezda/rasp_d.php?date=31.10.2026&amp;nnst1=2000000&amp;nnst2=2004000" TargetMode="External" Id="rId89" /><Relationship Type="http://schemas.openxmlformats.org/officeDocument/2006/relationships/hyperlink" Target="https://www.tutu.ru/poezda/rasp_d.php?date=28.10.2026&amp;nnst1=2060000&amp;nnst2=2000000" TargetMode="External" Id="rId90" /><Relationship Type="http://schemas.openxmlformats.org/officeDocument/2006/relationships/hyperlink" Target="https://www.tutu.ru/poezda/rasp_d.php?date=30.10.2026&amp;nnst1=2000000&amp;nnst2=2060000" TargetMode="External" Id="rId91" /><Relationship Type="http://schemas.openxmlformats.org/officeDocument/2006/relationships/hyperlink" Target="https://www.tutu.ru/poezda/rasp_d.php?date=31.10.2026&amp;nnst1=2000000&amp;nnst2=2060000" TargetMode="External" Id="rId92" /><Relationship Type="http://schemas.openxmlformats.org/officeDocument/2006/relationships/hyperlink" Target="https://www.tutu.ru/poezda/rasp_d.php?date=28.10.2026&amp;nnst1=2000170&amp;nnst2=2000000" TargetMode="External" Id="rId93" /><Relationship Type="http://schemas.openxmlformats.org/officeDocument/2006/relationships/hyperlink" Target="https://www.tutu.ru/poezda/rasp_d.php?date=30.10.2026&amp;nnst1=2000000&amp;nnst2=2000170" TargetMode="External" Id="rId94" /><Relationship Type="http://schemas.openxmlformats.org/officeDocument/2006/relationships/hyperlink" Target="https://www.tutu.ru/poezda/rasp_d.php?date=31.10.2026&amp;nnst1=2000000&amp;nnst2=2000170" TargetMode="External" Id="rId95" /><Relationship Type="http://schemas.openxmlformats.org/officeDocument/2006/relationships/hyperlink" Target="https://www.tutu.ru/poezda/rasp_d.php?date=28.10.2026&amp;nnst1=2004600&amp;nnst2=2000000" TargetMode="External" Id="rId96" /><Relationship Type="http://schemas.openxmlformats.org/officeDocument/2006/relationships/hyperlink" Target="https://www.tutu.ru/poezda/rasp_d.php?date=30.10.2026&amp;nnst1=2000000&amp;nnst2=2004600" TargetMode="External" Id="rId97" /><Relationship Type="http://schemas.openxmlformats.org/officeDocument/2006/relationships/hyperlink" Target="https://www.tutu.ru/rasp.php?st1=92502&amp;st2=11902&amp;date=28.10.2026" TargetMode="External" Id="rId98" /><Relationship Type="http://schemas.openxmlformats.org/officeDocument/2006/relationships/hyperlink" Target="https://www.tutu.ru/rasp.php?st1=11902&amp;st2=92502&amp;date=30.10.2026" TargetMode="External" Id="rId99" /><Relationship Type="http://schemas.openxmlformats.org/officeDocument/2006/relationships/hyperlink" Target="https://www.tutu.ru/prigorod/" TargetMode="External" Id="rId100" /><Relationship Type="http://schemas.openxmlformats.org/officeDocument/2006/relationships/hyperlink" Target="https://www.tutu.ru/prigorod/" TargetMode="External" Id="rId101" /><Relationship Type="http://schemas.openxmlformats.org/officeDocument/2006/relationships/hyperlink" Target="https://www.tutu.ru/poezda/rasp_d.php?date=27.10.2026&amp;nnst1=2024120&amp;nnst2=2000000" TargetMode="External" Id="rId102" /><Relationship Type="http://schemas.openxmlformats.org/officeDocument/2006/relationships/hyperlink" Target="https://www.tutu.ru/poezda/rasp_d.php?date=27.10.2026&amp;nnst1=2024700&amp;nnst2=2000000" TargetMode="External" Id="rId103" /><Relationship Type="http://schemas.openxmlformats.org/officeDocument/2006/relationships/hyperlink" Target="https://www.tutu.ru/poezda/rasp_d.php?date=27.10.2026&amp;nnst1=2014700&amp;nnst2=2000000" TargetMode="External" Id="rId104" /><Relationship Type="http://schemas.openxmlformats.org/officeDocument/2006/relationships/hyperlink" Target="https://www.tutu.ru/poezda/rasp_d.php?date=27.10.2026&amp;nnst1=2014130&amp;nnst2=2000000" TargetMode="External" Id="rId105" /><Relationship Type="http://schemas.openxmlformats.org/officeDocument/2006/relationships/hyperlink" Target="https://www.tutu.ru/poezda/rasp_d.php?date=27.10.2026&amp;nnst1=2014000&amp;nnst2=2000000" TargetMode="External" Id="rId106" /><Relationship Type="http://schemas.openxmlformats.org/officeDocument/2006/relationships/hyperlink" Target="https://www.tutu.ru/poezda/rasp_d.php?date=27.10.2026&amp;nnst1=2000140&amp;nnst2=2000000" TargetMode="External" Id="rId107" /><Relationship Type="http://schemas.openxmlformats.org/officeDocument/2006/relationships/hyperlink" Target="https://www.tutu.ru/poezda/rasp_d.php?date=27.10.2026&amp;nnst1=2000427&amp;nnst2=2000000" TargetMode="External" Id="rId108" /><Relationship Type="http://schemas.openxmlformats.org/officeDocument/2006/relationships/hyperlink" Target="https://www.tutu.ru/poezda/" TargetMode="External" Id="rId109" /><Relationship Type="http://schemas.openxmlformats.org/officeDocument/2006/relationships/hyperlink" Target="https://www.tutu.ru/poezda/" TargetMode="External" Id="rId110" /><Relationship Type="http://schemas.openxmlformats.org/officeDocument/2006/relationships/hyperlink" Target="https://www.tutu.ru/poezda/" TargetMode="External" Id="rId111" /><Relationship Type="http://schemas.openxmlformats.org/officeDocument/2006/relationships/hyperlink" Target="https://www.tutu.ru/poezda/" TargetMode="External" Id="rId112" /><Relationship Type="http://schemas.openxmlformats.org/officeDocument/2006/relationships/hyperlink" Target="https://www.tutu.ru/poezda/" TargetMode="External" Id="rId113" /><Relationship Type="http://schemas.openxmlformats.org/officeDocument/2006/relationships/hyperlink" Target="https://www.tutu.ru/poezda/" TargetMode="External" Id="rId114" /><Relationship Type="http://schemas.openxmlformats.org/officeDocument/2006/relationships/hyperlink" Target="https://www.tutu.ru/poezda/" TargetMode="External" Id="rId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7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" customWidth="1" min="16" max="16"/>
    <col width="8" customWidth="1" min="17" max="17"/>
    <col width="13" customWidth="1" min="18" max="18"/>
    <col width="15" customWidth="1" min="19" max="19"/>
    <col width="15" customWidth="1" min="20" max="20"/>
    <col width="55" customWidth="1" min="21" max="21"/>
  </cols>
  <sheetData>
    <row r="1">
      <c r="A1" s="1" t="inlineStr">
        <is>
          <t>Итоговое совещание Энергомикс, Коломна, 28–30.10.2026 — стоимость проезда на 1 человека</t>
        </is>
      </c>
    </row>
    <row r="2">
      <c r="A2" t="inlineStr">
        <is>
          <t>Цены на 28.09.2026. «Эконом» — самые дешёвые билеты (в т. ч. ранние вылеты, ночные рейсы и поезда). «Удобный» — без подъёма среди ночи и без ночи в дороге: вылет не раньше ~09:00, приезд в Коломну до 23:00, обратно 31.10 днём после ночи в гостинице. Детали — лист «Маршруты».</t>
        </is>
      </c>
    </row>
    <row r="4" ht="45" customHeight="1">
      <c r="A4" s="2" t="inlineStr">
        <is>
          <t>№</t>
        </is>
      </c>
      <c r="B4" s="2" t="inlineStr">
        <is>
          <t>ФИО</t>
        </is>
      </c>
      <c r="C4" s="2" t="inlineStr">
        <is>
          <t>Должность</t>
        </is>
      </c>
      <c r="D4" s="2" t="inlineStr">
        <is>
          <t>Город</t>
        </is>
      </c>
      <c r="E4" s="2" t="inlineStr">
        <is>
          <t>Способ</t>
        </is>
      </c>
      <c r="F4" s="3" t="inlineStr">
        <is>
          <t>ЭКОНОМ: туда, без багажа</t>
        </is>
      </c>
      <c r="G4" s="3" t="inlineStr">
        <is>
          <t>туда, с багажом</t>
        </is>
      </c>
      <c r="H4" s="3" t="inlineStr">
        <is>
          <t>обратно, без багажа</t>
        </is>
      </c>
      <c r="I4" s="3" t="inlineStr">
        <is>
          <t>обратно, с багажом</t>
        </is>
      </c>
      <c r="J4" s="3" t="inlineStr">
        <is>
          <t>трансферы</t>
        </is>
      </c>
      <c r="K4" s="3" t="inlineStr">
        <is>
          <t>доп. ночей</t>
        </is>
      </c>
      <c r="L4" s="3" t="inlineStr">
        <is>
          <t>ИТОГО эконом без багажа</t>
        </is>
      </c>
      <c r="M4" s="3" t="inlineStr">
        <is>
          <t>ИТОГО эконом с багажом</t>
        </is>
      </c>
      <c r="N4" s="4" t="inlineStr">
        <is>
          <t>УДОБНЫЙ: туда (с багажом)</t>
        </is>
      </c>
      <c r="O4" s="4" t="inlineStr">
        <is>
          <t>обратно (с багажом)</t>
        </is>
      </c>
      <c r="P4" s="4" t="inlineStr">
        <is>
          <t>трансферы</t>
        </is>
      </c>
      <c r="Q4" s="4" t="inlineStr">
        <is>
          <t>доп. ночей</t>
        </is>
      </c>
      <c r="R4" s="4" t="inlineStr">
        <is>
          <t>ИТОГО удобный</t>
        </is>
      </c>
      <c r="S4" s="3" t="inlineStr">
        <is>
          <t>В ПУТИ эконом (туда + обратно, дверь–дверь)</t>
        </is>
      </c>
      <c r="T4" s="4" t="inlineStr">
        <is>
          <t>В ПУТИ удобный (туда + обратно, дверь–дверь)</t>
        </is>
      </c>
      <c r="U4" s="2" t="inlineStr">
        <is>
          <t>Комментарий</t>
        </is>
      </c>
    </row>
    <row r="5">
      <c r="A5" s="5" t="n">
        <v>1</v>
      </c>
      <c r="B5" s="5" t="inlineStr">
        <is>
          <t>Марченко В.Н.</t>
        </is>
      </c>
      <c r="C5" s="5" t="inlineStr">
        <is>
          <t>уточнить</t>
        </is>
      </c>
      <c r="D5" s="5" t="inlineStr">
        <is>
          <t>Омск</t>
        </is>
      </c>
      <c r="E5" s="5" t="inlineStr">
        <is>
          <t>Самолёт</t>
        </is>
      </c>
      <c r="F5" s="6" t="n">
        <v>7655</v>
      </c>
      <c r="G5" s="6" t="n">
        <v>10548</v>
      </c>
      <c r="H5" s="6" t="n">
        <v>9591</v>
      </c>
      <c r="I5" s="6" t="n">
        <v>12638</v>
      </c>
      <c r="J5" s="6" t="n">
        <v>3000</v>
      </c>
      <c r="K5" s="7" t="n">
        <v>0</v>
      </c>
      <c r="L5" s="8">
        <f>F5+H5+J5+K5*'Правила и допущения'!$B$3</f>
        <v/>
      </c>
      <c r="M5" s="8">
        <f>G5+I5+J5+K5*'Правила и допущения'!$B$3</f>
        <v/>
      </c>
      <c r="N5" s="9" t="n">
        <v>14270</v>
      </c>
      <c r="O5" s="9" t="n">
        <v>12639</v>
      </c>
      <c r="P5" s="9" t="n">
        <v>6500</v>
      </c>
      <c r="Q5" s="10" t="n">
        <v>2</v>
      </c>
      <c r="R5" s="11">
        <f>N5+O5+P5+Q5*'Правила и допущения'!$B$3</f>
        <v/>
      </c>
      <c r="S5" s="7" t="inlineStr">
        <is>
          <t>20 ч 55 мин</t>
        </is>
      </c>
      <c r="T5" s="10" t="inlineStr">
        <is>
          <t>20 ч 15 мин</t>
        </is>
      </c>
      <c r="U5" s="5" t="inlineStr">
        <is>
          <t>Удобный: вылет днём 27.10 + ночь; обратно дневных рейсов нет — вечер 31.10</t>
        </is>
      </c>
    </row>
    <row r="6">
      <c r="A6" s="5" t="n">
        <v>2</v>
      </c>
      <c r="B6" s="5" t="inlineStr">
        <is>
          <t>Яруллин И.Р.</t>
        </is>
      </c>
      <c r="C6" s="5" t="inlineStr">
        <is>
          <t>уточнить</t>
        </is>
      </c>
      <c r="D6" s="5" t="inlineStr">
        <is>
          <t>Уфа</t>
        </is>
      </c>
      <c r="E6" s="5" t="inlineStr">
        <is>
          <t>Самолёт</t>
        </is>
      </c>
      <c r="F6" s="6" t="n">
        <v>6638</v>
      </c>
      <c r="G6" s="6" t="n">
        <v>9416</v>
      </c>
      <c r="H6" s="6" t="n">
        <v>8417</v>
      </c>
      <c r="I6" s="6" t="n">
        <v>11288</v>
      </c>
      <c r="J6" s="6" t="n">
        <v>1800</v>
      </c>
      <c r="K6" s="7" t="n">
        <v>0</v>
      </c>
      <c r="L6" s="8">
        <f>F6+H6+J6+K6*'Правила и допущения'!$B$3</f>
        <v/>
      </c>
      <c r="M6" s="8">
        <f>G6+I6+J6+K6*'Правила и допущения'!$B$3</f>
        <v/>
      </c>
      <c r="N6" s="9" t="n">
        <v>11268</v>
      </c>
      <c r="O6" s="9" t="n">
        <v>12118</v>
      </c>
      <c r="P6" s="9" t="n">
        <v>6000</v>
      </c>
      <c r="Q6" s="10" t="n">
        <v>1</v>
      </c>
      <c r="R6" s="11">
        <f>N6+O6+P6+Q6*'Правила и допущения'!$B$3</f>
        <v/>
      </c>
      <c r="S6" s="7" t="inlineStr">
        <is>
          <t>18 ч 00 мин</t>
        </is>
      </c>
      <c r="T6" s="10" t="inlineStr">
        <is>
          <t>15 ч 05 мин</t>
        </is>
      </c>
      <c r="U6" s="5" t="inlineStr">
        <is>
          <t>Эконом: вылет 07:00 и ночной обратно</t>
        </is>
      </c>
    </row>
    <row r="7">
      <c r="A7" s="5" t="n">
        <v>3</v>
      </c>
      <c r="B7" s="5" t="inlineStr">
        <is>
          <t>Григорьев Д.С.</t>
        </is>
      </c>
      <c r="C7" s="5" t="inlineStr">
        <is>
          <t>Начальник склада</t>
        </is>
      </c>
      <c r="D7" s="5" t="inlineStr">
        <is>
          <t>Ревда</t>
        </is>
      </c>
      <c r="E7" s="5" t="inlineStr">
        <is>
          <t>Самолёт</t>
        </is>
      </c>
      <c r="F7" s="6" t="n">
        <v>7113</v>
      </c>
      <c r="G7" s="6" t="n">
        <v>10054</v>
      </c>
      <c r="H7" s="6" t="n">
        <v>10285</v>
      </c>
      <c r="I7" s="6" t="n">
        <v>13388</v>
      </c>
      <c r="J7" s="6" t="n">
        <v>5100</v>
      </c>
      <c r="K7" s="7" t="n">
        <v>0</v>
      </c>
      <c r="L7" s="8">
        <f>F7+H7+J7+K7*'Правила и допущения'!$B$3</f>
        <v/>
      </c>
      <c r="M7" s="8">
        <f>G7+I7+J7+K7*'Правила и допущения'!$B$3</f>
        <v/>
      </c>
      <c r="N7" s="9" t="n">
        <v>13395</v>
      </c>
      <c r="O7" s="9" t="n">
        <v>15996</v>
      </c>
      <c r="P7" s="9" t="n">
        <v>6000</v>
      </c>
      <c r="Q7" s="10" t="n">
        <v>1</v>
      </c>
      <c r="R7" s="11">
        <f>N7+O7+P7+Q7*'Правила и допущения'!$B$3</f>
        <v/>
      </c>
      <c r="S7" s="7" t="inlineStr">
        <is>
          <t>19 ч 05 мин</t>
        </is>
      </c>
      <c r="T7" s="10" t="inlineStr">
        <is>
          <t>16 ч 05 мин</t>
        </is>
      </c>
      <c r="U7" s="5" t="inlineStr">
        <is>
          <t>Вкл. такси Ревда—Кольцово</t>
        </is>
      </c>
    </row>
    <row r="8">
      <c r="A8" s="5" t="n">
        <v>4</v>
      </c>
      <c r="B8" s="5" t="inlineStr">
        <is>
          <t>Воронков И.Н.</t>
        </is>
      </c>
      <c r="C8" s="5" t="inlineStr">
        <is>
          <t>Руководитель СФО</t>
        </is>
      </c>
      <c r="D8" s="5" t="inlineStr">
        <is>
          <t>Новосибирск</t>
        </is>
      </c>
      <c r="E8" s="5" t="inlineStr">
        <is>
          <t>Самолёт</t>
        </is>
      </c>
      <c r="F8" s="6" t="n">
        <v>7623</v>
      </c>
      <c r="G8" s="6" t="n">
        <v>10502</v>
      </c>
      <c r="H8" s="6" t="n">
        <v>8607</v>
      </c>
      <c r="I8" s="6" t="n">
        <v>11632</v>
      </c>
      <c r="J8" s="6" t="n">
        <v>2600</v>
      </c>
      <c r="K8" s="7" t="n">
        <v>1</v>
      </c>
      <c r="L8" s="8">
        <f>F8+H8+J8+K8*'Правила и допущения'!$B$3</f>
        <v/>
      </c>
      <c r="M8" s="8">
        <f>G8+I8+J8+K8*'Правила и допущения'!$B$3</f>
        <v/>
      </c>
      <c r="N8" s="9" t="n">
        <v>14236</v>
      </c>
      <c r="O8" s="9" t="n">
        <v>15333</v>
      </c>
      <c r="P8" s="9" t="n">
        <v>3400</v>
      </c>
      <c r="Q8" s="10" t="n">
        <v>1</v>
      </c>
      <c r="R8" s="11">
        <f>N8+O8+P8+Q8*'Правила и допущения'!$B$3</f>
        <v/>
      </c>
      <c r="S8" s="7" t="inlineStr">
        <is>
          <t>21 ч 40 мин</t>
        </is>
      </c>
      <c r="T8" s="10" t="inlineStr">
        <is>
          <t>21 ч 30 мин</t>
        </is>
      </c>
      <c r="U8" s="5" t="inlineStr">
        <is>
          <t>Удобный: днём в обе стороны</t>
        </is>
      </c>
    </row>
    <row r="9">
      <c r="A9" s="5" t="n">
        <v>5</v>
      </c>
      <c r="B9" s="5" t="inlineStr">
        <is>
          <t>Макаров А.Г.</t>
        </is>
      </c>
      <c r="C9" s="5" t="inlineStr">
        <is>
          <t>уточнить</t>
        </is>
      </c>
      <c r="D9" s="5" t="inlineStr">
        <is>
          <t>Абакан</t>
        </is>
      </c>
      <c r="E9" s="5" t="inlineStr">
        <is>
          <t>Самолёт</t>
        </is>
      </c>
      <c r="F9" s="6" t="n">
        <v>19228</v>
      </c>
      <c r="G9" s="6" t="n">
        <v>25593</v>
      </c>
      <c r="H9" s="6" t="n">
        <v>21247</v>
      </c>
      <c r="I9" s="6" t="n">
        <v>25201</v>
      </c>
      <c r="J9" s="6" t="n">
        <v>2700</v>
      </c>
      <c r="K9" s="7" t="n">
        <v>1</v>
      </c>
      <c r="L9" s="8">
        <f>F9+H9+J9+K9*'Правила и допущения'!$B$3</f>
        <v/>
      </c>
      <c r="M9" s="8">
        <f>G9+I9+J9+K9*'Правила и допущения'!$B$3</f>
        <v/>
      </c>
      <c r="N9" s="9" t="n">
        <v>25201</v>
      </c>
      <c r="O9" s="9" t="n">
        <v>25201</v>
      </c>
      <c r="P9" s="9" t="n">
        <v>10000</v>
      </c>
      <c r="Q9" s="10" t="n">
        <v>1</v>
      </c>
      <c r="R9" s="11">
        <f>N9+O9+P9+Q9*'Правила и допущения'!$B$3</f>
        <v/>
      </c>
      <c r="S9" s="7" t="inlineStr">
        <is>
          <t>20 ч 20 мин</t>
        </is>
      </c>
      <c r="T9" s="10" t="inlineStr">
        <is>
          <t>21 ч 30 мин</t>
        </is>
      </c>
      <c r="U9" s="5" t="inlineStr">
        <is>
          <t>Обратно только ночной рейс (дневных нет)</t>
        </is>
      </c>
    </row>
    <row r="10">
      <c r="A10" s="5" t="n">
        <v>6</v>
      </c>
      <c r="B10" s="5" t="inlineStr">
        <is>
          <t>Дёмин А.М.</t>
        </is>
      </c>
      <c r="C10" s="5" t="inlineStr">
        <is>
          <t>уточнить</t>
        </is>
      </c>
      <c r="D10" s="5" t="inlineStr">
        <is>
          <t>Красноярск</t>
        </is>
      </c>
      <c r="E10" s="5" t="inlineStr">
        <is>
          <t>Самолёт</t>
        </is>
      </c>
      <c r="F10" s="6" t="n">
        <v>10652</v>
      </c>
      <c r="G10" s="6" t="n">
        <v>14050</v>
      </c>
      <c r="H10" s="6" t="n">
        <v>9430</v>
      </c>
      <c r="I10" s="6" t="n">
        <v>12647</v>
      </c>
      <c r="J10" s="6" t="n">
        <v>3000</v>
      </c>
      <c r="K10" s="7" t="n">
        <v>1</v>
      </c>
      <c r="L10" s="8">
        <f>F10+H10+J10+K10*'Правила и допущения'!$B$3</f>
        <v/>
      </c>
      <c r="M10" s="8">
        <f>G10+I10+J10+K10*'Правила и допущения'!$B$3</f>
        <v/>
      </c>
      <c r="N10" s="9" t="n">
        <v>19270</v>
      </c>
      <c r="O10" s="9" t="n">
        <v>25343</v>
      </c>
      <c r="P10" s="9" t="n">
        <v>10000</v>
      </c>
      <c r="Q10" s="10" t="n">
        <v>1</v>
      </c>
      <c r="R10" s="11">
        <f>N10+O10+P10+Q10*'Правила и допущения'!$B$3</f>
        <v/>
      </c>
      <c r="S10" s="7" t="inlineStr">
        <is>
          <t>22 ч 35 мин</t>
        </is>
      </c>
      <c r="T10" s="10" t="inlineStr">
        <is>
          <t>22 ч 35 мин</t>
        </is>
      </c>
      <c r="U10" s="5" t="inlineStr">
        <is>
          <t>Удобный: днём в обе стороны</t>
        </is>
      </c>
    </row>
    <row r="11">
      <c r="A11" s="5" t="n">
        <v>7</v>
      </c>
      <c r="B11" s="5" t="inlineStr">
        <is>
          <t>Иванова Е.В.</t>
        </is>
      </c>
      <c r="C11" s="5" t="inlineStr">
        <is>
          <t>уточнить</t>
        </is>
      </c>
      <c r="D11" s="5" t="inlineStr">
        <is>
          <t>Новокузнецк</t>
        </is>
      </c>
      <c r="E11" s="5" t="inlineStr">
        <is>
          <t>Самолёт</t>
        </is>
      </c>
      <c r="F11" s="6" t="n">
        <v>14784</v>
      </c>
      <c r="G11" s="6" t="n">
        <v>20644</v>
      </c>
      <c r="H11" s="6" t="n">
        <v>14784</v>
      </c>
      <c r="I11" s="6" t="n">
        <v>20644</v>
      </c>
      <c r="J11" s="6" t="n">
        <v>2400</v>
      </c>
      <c r="K11" s="7" t="n">
        <v>0</v>
      </c>
      <c r="L11" s="8">
        <f>F11+H11+J11+K11*'Правила и допущения'!$B$3</f>
        <v/>
      </c>
      <c r="M11" s="8">
        <f>G11+I11+J11+K11*'Правила и допущения'!$B$3</f>
        <v/>
      </c>
      <c r="N11" s="9" t="n">
        <v>20644</v>
      </c>
      <c r="O11" s="9" t="n">
        <v>18619</v>
      </c>
      <c r="P11" s="9" t="n">
        <v>8000</v>
      </c>
      <c r="Q11" s="10" t="n">
        <v>1</v>
      </c>
      <c r="R11" s="11">
        <f>N11+O11+P11+Q11*'Правила и допущения'!$B$3</f>
        <v/>
      </c>
      <c r="S11" s="7" t="inlineStr">
        <is>
          <t>20 ч 25 мин</t>
        </is>
      </c>
      <c r="T11" s="10" t="inlineStr">
        <is>
          <t>19 ч 35 мин</t>
        </is>
      </c>
      <c r="U11" s="5" t="inlineStr">
        <is>
          <t>Обратно дневных рейсов нет — вечер 31.10 после отдыха</t>
        </is>
      </c>
    </row>
    <row r="12">
      <c r="A12" s="5" t="n">
        <v>8</v>
      </c>
      <c r="B12" s="5" t="inlineStr">
        <is>
          <t>Видяев А.А.</t>
        </is>
      </c>
      <c r="C12" s="5" t="inlineStr">
        <is>
          <t>уточнить</t>
        </is>
      </c>
      <c r="D12" s="5" t="inlineStr">
        <is>
          <t>Новосибирск</t>
        </is>
      </c>
      <c r="E12" s="5" t="inlineStr">
        <is>
          <t>Самолёт</t>
        </is>
      </c>
      <c r="F12" s="6" t="n">
        <v>7623</v>
      </c>
      <c r="G12" s="6" t="n">
        <v>10502</v>
      </c>
      <c r="H12" s="6" t="n">
        <v>8607</v>
      </c>
      <c r="I12" s="6" t="n">
        <v>11632</v>
      </c>
      <c r="J12" s="6" t="n">
        <v>2600</v>
      </c>
      <c r="K12" s="7" t="n">
        <v>1</v>
      </c>
      <c r="L12" s="8">
        <f>F12+H12+J12+K12*'Правила и допущения'!$B$3</f>
        <v/>
      </c>
      <c r="M12" s="8">
        <f>G12+I12+J12+K12*'Правила и допущения'!$B$3</f>
        <v/>
      </c>
      <c r="N12" s="9" t="n">
        <v>14236</v>
      </c>
      <c r="O12" s="9" t="n">
        <v>15333</v>
      </c>
      <c r="P12" s="9" t="n">
        <v>3400</v>
      </c>
      <c r="Q12" s="10" t="n">
        <v>1</v>
      </c>
      <c r="R12" s="11">
        <f>N12+O12+P12+Q12*'Правила и допущения'!$B$3</f>
        <v/>
      </c>
      <c r="S12" s="7" t="inlineStr">
        <is>
          <t>21 ч 40 мин</t>
        </is>
      </c>
      <c r="T12" s="10" t="inlineStr">
        <is>
          <t>21 ч 30 мин</t>
        </is>
      </c>
      <c r="U12" s="5" t="inlineStr">
        <is>
          <t>Удобный: днём в обе стороны</t>
        </is>
      </c>
    </row>
    <row r="13">
      <c r="A13" s="5" t="n">
        <v>9</v>
      </c>
      <c r="B13" s="5" t="inlineStr">
        <is>
          <t>Малышев А.А.</t>
        </is>
      </c>
      <c r="C13" s="5" t="inlineStr">
        <is>
          <t>Начальник склада</t>
        </is>
      </c>
      <c r="D13" s="5" t="inlineStr">
        <is>
          <t>Новосибирск</t>
        </is>
      </c>
      <c r="E13" s="5" t="inlineStr">
        <is>
          <t>Самолёт</t>
        </is>
      </c>
      <c r="F13" s="6" t="n">
        <v>7623</v>
      </c>
      <c r="G13" s="6" t="n">
        <v>10502</v>
      </c>
      <c r="H13" s="6" t="n">
        <v>8607</v>
      </c>
      <c r="I13" s="6" t="n">
        <v>11632</v>
      </c>
      <c r="J13" s="6" t="n">
        <v>2600</v>
      </c>
      <c r="K13" s="7" t="n">
        <v>1</v>
      </c>
      <c r="L13" s="8">
        <f>F13+H13+J13+K13*'Правила и допущения'!$B$3</f>
        <v/>
      </c>
      <c r="M13" s="8">
        <f>G13+I13+J13+K13*'Правила и допущения'!$B$3</f>
        <v/>
      </c>
      <c r="N13" s="9" t="n">
        <v>14236</v>
      </c>
      <c r="O13" s="9" t="n">
        <v>15333</v>
      </c>
      <c r="P13" s="9" t="n">
        <v>3400</v>
      </c>
      <c r="Q13" s="10" t="n">
        <v>1</v>
      </c>
      <c r="R13" s="11">
        <f>N13+O13+P13+Q13*'Правила и допущения'!$B$3</f>
        <v/>
      </c>
      <c r="S13" s="7" t="inlineStr">
        <is>
          <t>21 ч 40 мин</t>
        </is>
      </c>
      <c r="T13" s="10" t="inlineStr">
        <is>
          <t>21 ч 30 мин</t>
        </is>
      </c>
      <c r="U13" s="5" t="inlineStr">
        <is>
          <t>Удобный: днём в обе стороны</t>
        </is>
      </c>
    </row>
    <row r="14">
      <c r="A14" s="5" t="n">
        <v>10</v>
      </c>
      <c r="B14" s="5" t="inlineStr">
        <is>
          <t>Панкратова Е.С.</t>
        </is>
      </c>
      <c r="C14" s="5" t="inlineStr">
        <is>
          <t>уточнить</t>
        </is>
      </c>
      <c r="D14" s="5" t="inlineStr">
        <is>
          <t>Ижевск</t>
        </is>
      </c>
      <c r="E14" s="5" t="inlineStr">
        <is>
          <t>Самолёт</t>
        </is>
      </c>
      <c r="F14" s="6" t="n">
        <v>8158</v>
      </c>
      <c r="G14" s="6" t="n">
        <v>11683</v>
      </c>
      <c r="H14" s="6" t="n">
        <v>8158</v>
      </c>
      <c r="I14" s="6" t="n">
        <v>11683</v>
      </c>
      <c r="J14" s="6" t="n">
        <v>3000</v>
      </c>
      <c r="K14" s="7" t="n">
        <v>1</v>
      </c>
      <c r="L14" s="8">
        <f>F14+H14+J14+K14*'Правила и допущения'!$B$3</f>
        <v/>
      </c>
      <c r="M14" s="8">
        <f>G14+I14+J14+K14*'Правила и допущения'!$B$3</f>
        <v/>
      </c>
      <c r="N14" s="9" t="n">
        <v>11683</v>
      </c>
      <c r="O14" s="9" t="n">
        <v>11683</v>
      </c>
      <c r="P14" s="9" t="n">
        <v>6000</v>
      </c>
      <c r="Q14" s="10" t="n">
        <v>1</v>
      </c>
      <c r="R14" s="11">
        <f>N14+O14+P14+Q14*'Правила и допущения'!$B$3</f>
        <v/>
      </c>
      <c r="S14" s="7" t="inlineStr">
        <is>
          <t>13 ч 45 мин</t>
        </is>
      </c>
      <c r="T14" s="10" t="inlineStr">
        <is>
          <t>13 ч 45 мин</t>
        </is>
      </c>
      <c r="U14" s="5" t="inlineStr">
        <is>
          <t>Эконом = удобный</t>
        </is>
      </c>
    </row>
    <row r="15">
      <c r="A15" s="5" t="n">
        <v>11</v>
      </c>
      <c r="B15" s="5" t="inlineStr">
        <is>
          <t>Асхадуллин А.М.</t>
        </is>
      </c>
      <c r="C15" s="5" t="inlineStr">
        <is>
          <t>уточнить</t>
        </is>
      </c>
      <c r="D15" s="5" t="inlineStr">
        <is>
          <t>Казань</t>
        </is>
      </c>
      <c r="E15" s="5" t="inlineStr">
        <is>
          <t>Самолёт / поезд</t>
        </is>
      </c>
      <c r="F15" s="6" t="n">
        <v>3265</v>
      </c>
      <c r="G15" s="6" t="n">
        <v>5995</v>
      </c>
      <c r="H15" s="6" t="n">
        <v>4270</v>
      </c>
      <c r="I15" s="6" t="n">
        <v>4270</v>
      </c>
      <c r="J15" s="6" t="n">
        <v>2400</v>
      </c>
      <c r="K15" s="7" t="n">
        <v>0</v>
      </c>
      <c r="L15" s="8">
        <f>F15+H15+J15+K15*'Правила и допущения'!$B$3</f>
        <v/>
      </c>
      <c r="M15" s="8">
        <f>G15+I15+J15+K15*'Правила и допущения'!$B$3</f>
        <v/>
      </c>
      <c r="N15" s="9" t="n">
        <v>7021</v>
      </c>
      <c r="O15" s="9" t="n">
        <v>7722</v>
      </c>
      <c r="P15" s="9" t="n">
        <v>6500</v>
      </c>
      <c r="Q15" s="10" t="n">
        <v>1</v>
      </c>
      <c r="R15" s="11">
        <f>N15+O15+P15+Q15*'Правила и допущения'!$B$3</f>
        <v/>
      </c>
      <c r="S15" s="7" t="inlineStr">
        <is>
          <t>25 ч 10 мин</t>
        </is>
      </c>
      <c r="T15" s="10" t="inlineStr">
        <is>
          <t>16 ч 15 мин</t>
        </is>
      </c>
      <c r="U15" s="5" t="inlineStr">
        <is>
          <t>Самолёт дешевле поезда; эконом обратно — ночной поезд</t>
        </is>
      </c>
    </row>
    <row r="16">
      <c r="A16" s="5" t="n">
        <v>12</v>
      </c>
      <c r="B16" s="5" t="inlineStr">
        <is>
          <t>Егоров Р.Л.</t>
        </is>
      </c>
      <c r="C16" s="5" t="inlineStr">
        <is>
          <t>уточнить</t>
        </is>
      </c>
      <c r="D16" s="5" t="inlineStr">
        <is>
          <t>Набережные Челны</t>
        </is>
      </c>
      <c r="E16" s="5" t="inlineStr">
        <is>
          <t>Самолёт</t>
        </is>
      </c>
      <c r="F16" s="6" t="n">
        <v>4517</v>
      </c>
      <c r="G16" s="6" t="n">
        <v>7237</v>
      </c>
      <c r="H16" s="6" t="n">
        <v>5056</v>
      </c>
      <c r="I16" s="6" t="n">
        <v>7775</v>
      </c>
      <c r="J16" s="6" t="n">
        <v>4600</v>
      </c>
      <c r="K16" s="7" t="n">
        <v>1</v>
      </c>
      <c r="L16" s="8">
        <f>F16+H16+J16+K16*'Правила и допущения'!$B$3</f>
        <v/>
      </c>
      <c r="M16" s="8">
        <f>G16+I16+J16+K16*'Правила и допущения'!$B$3</f>
        <v/>
      </c>
      <c r="N16" s="9" t="n">
        <v>7237</v>
      </c>
      <c r="O16" s="9" t="n">
        <v>7775</v>
      </c>
      <c r="P16" s="9" t="n">
        <v>8500</v>
      </c>
      <c r="Q16" s="10" t="n">
        <v>1</v>
      </c>
      <c r="R16" s="11">
        <f>N16+O16+P16+Q16*'Правила и допущения'!$B$3</f>
        <v/>
      </c>
      <c r="S16" s="7" t="inlineStr">
        <is>
          <t>15 ч 40 мин</t>
        </is>
      </c>
      <c r="T16" s="10" t="inlineStr">
        <is>
          <t>15 ч 40 мин</t>
        </is>
      </c>
      <c r="U16" s="5" t="inlineStr">
        <is>
          <t>Эконом = удобный</t>
        </is>
      </c>
    </row>
    <row r="17">
      <c r="A17" s="5" t="n">
        <v>13</v>
      </c>
      <c r="B17" s="5" t="inlineStr">
        <is>
          <t>Попов Д.М.</t>
        </is>
      </c>
      <c r="C17" s="5" t="inlineStr">
        <is>
          <t>уточнить</t>
        </is>
      </c>
      <c r="D17" s="5" t="inlineStr">
        <is>
          <t>Оренбург</t>
        </is>
      </c>
      <c r="E17" s="5" t="inlineStr">
        <is>
          <t>Самолёт</t>
        </is>
      </c>
      <c r="F17" s="6" t="n">
        <v>7050</v>
      </c>
      <c r="G17" s="6" t="n">
        <v>9636</v>
      </c>
      <c r="H17" s="6" t="n">
        <v>8429</v>
      </c>
      <c r="I17" s="6" t="n">
        <v>8429</v>
      </c>
      <c r="J17" s="6" t="n">
        <v>3000</v>
      </c>
      <c r="K17" s="7" t="n">
        <v>0</v>
      </c>
      <c r="L17" s="8">
        <f>F17+H17+J17+K17*'Правила и допущения'!$B$3</f>
        <v/>
      </c>
      <c r="M17" s="8">
        <f>G17+I17+J17+K17*'Правила и допущения'!$B$3</f>
        <v/>
      </c>
      <c r="N17" s="9" t="n">
        <v>9636</v>
      </c>
      <c r="O17" s="9" t="n">
        <v>15985</v>
      </c>
      <c r="P17" s="9" t="n">
        <v>6500</v>
      </c>
      <c r="Q17" s="10" t="n">
        <v>1</v>
      </c>
      <c r="R17" s="11">
        <f>N17+O17+P17+Q17*'Правила и допущения'!$B$3</f>
        <v/>
      </c>
      <c r="S17" s="7" t="inlineStr">
        <is>
          <t>19 ч 25 мин</t>
        </is>
      </c>
      <c r="T17" s="10" t="inlineStr">
        <is>
          <t>16 ч 25 мин</t>
        </is>
      </c>
      <c r="U17" s="5" t="inlineStr">
        <is>
          <t>Эконом обратно — ночной рейс 02:40</t>
        </is>
      </c>
    </row>
    <row r="18">
      <c r="A18" s="5" t="n">
        <v>14</v>
      </c>
      <c r="B18" s="5" t="inlineStr">
        <is>
          <t>Ирышков Е.А.</t>
        </is>
      </c>
      <c r="C18" s="5" t="inlineStr">
        <is>
          <t>уточнить</t>
        </is>
      </c>
      <c r="D18" s="5" t="inlineStr">
        <is>
          <t>Пенза</t>
        </is>
      </c>
      <c r="E18" s="5" t="inlineStr">
        <is>
          <t>Авто</t>
        </is>
      </c>
      <c r="F18" s="6">
        <f>'Авто'!J2/2</f>
        <v/>
      </c>
      <c r="G18" s="6">
        <f>'Авто'!J2/2</f>
        <v/>
      </c>
      <c r="H18" s="6">
        <f>'Авто'!J2/2</f>
        <v/>
      </c>
      <c r="I18" s="6">
        <f>'Авто'!J2/2</f>
        <v/>
      </c>
      <c r="J18" s="6" t="n">
        <v>0</v>
      </c>
      <c r="K18" s="7" t="n">
        <v>0</v>
      </c>
      <c r="L18" s="8">
        <f>F18+H18+J18+K18*'Правила и допущения'!$B$3</f>
        <v/>
      </c>
      <c r="M18" s="8">
        <f>G18+I18+J18+K18*'Правила и допущения'!$B$3</f>
        <v/>
      </c>
      <c r="N18" s="9">
        <f>'Авто'!J2/2</f>
        <v/>
      </c>
      <c r="O18" s="9">
        <f>'Авто'!J2/2</f>
        <v/>
      </c>
      <c r="P18" s="9" t="n">
        <v>0</v>
      </c>
      <c r="Q18" s="10" t="n">
        <v>1</v>
      </c>
      <c r="R18" s="11">
        <f>N18+O18+P18+Q18*'Правила и допущения'!$B$3</f>
        <v/>
      </c>
      <c r="S18" s="7" t="inlineStr">
        <is>
          <t>15 ч 00 мин</t>
        </is>
      </c>
      <c r="T18" s="10" t="inlineStr">
        <is>
          <t>15 ч 00 мин</t>
        </is>
      </c>
      <c r="U18" s="5" t="inlineStr">
        <is>
          <t>Экипаж: Пенза. Удобный = обратно 31.10 утром + ночь</t>
        </is>
      </c>
    </row>
    <row r="19">
      <c r="A19" s="5" t="n">
        <v>15</v>
      </c>
      <c r="B19" s="5" t="inlineStr">
        <is>
          <t>Симбирев И.В.</t>
        </is>
      </c>
      <c r="C19" s="5" t="inlineStr">
        <is>
          <t>Руководитель ПФО</t>
        </is>
      </c>
      <c r="D19" s="5" t="inlineStr">
        <is>
          <t>Саратов</t>
        </is>
      </c>
      <c r="E19" s="5" t="inlineStr">
        <is>
          <t>Поезд / самолёт</t>
        </is>
      </c>
      <c r="F19" s="6" t="n">
        <v>4013</v>
      </c>
      <c r="G19" s="6" t="n">
        <v>4013</v>
      </c>
      <c r="H19" s="6" t="n">
        <v>5012</v>
      </c>
      <c r="I19" s="6" t="n">
        <v>7630</v>
      </c>
      <c r="J19" s="6" t="n">
        <v>2400</v>
      </c>
      <c r="K19" s="7" t="n">
        <v>1</v>
      </c>
      <c r="L19" s="8">
        <f>F19+H19+J19+K19*'Правила и допущения'!$B$3</f>
        <v/>
      </c>
      <c r="M19" s="8">
        <f>G19+I19+J19+K19*'Правила и допущения'!$B$3</f>
        <v/>
      </c>
      <c r="N19" s="9" t="n">
        <v>8442</v>
      </c>
      <c r="O19" s="9" t="n">
        <v>7630</v>
      </c>
      <c r="P19" s="9" t="n">
        <v>4750</v>
      </c>
      <c r="Q19" s="10" t="n">
        <v>1</v>
      </c>
      <c r="R19" s="11">
        <f>N19+O19+P19+Q19*'Правила и допущения'!$B$3</f>
        <v/>
      </c>
      <c r="S19" s="7" t="inlineStr">
        <is>
          <t>28 ч 30 мин</t>
        </is>
      </c>
      <c r="T19" s="10" t="inlineStr">
        <is>
          <t>15 ч 05 мин</t>
        </is>
      </c>
      <c r="U19" s="5" t="inlineStr">
        <is>
          <t>Эконом: ночной поезд туда. Удобный: самолёт днём</t>
        </is>
      </c>
    </row>
    <row r="20">
      <c r="A20" s="5" t="n">
        <v>16</v>
      </c>
      <c r="B20" s="5" t="inlineStr">
        <is>
          <t>Щеголев М.Г.</t>
        </is>
      </c>
      <c r="C20" s="5" t="inlineStr">
        <is>
          <t>уточнить</t>
        </is>
      </c>
      <c r="D20" s="5" t="inlineStr">
        <is>
          <t>Самара</t>
        </is>
      </c>
      <c r="E20" s="5" t="inlineStr">
        <is>
          <t>Поезд / самолёт</t>
        </is>
      </c>
      <c r="F20" s="6" t="n">
        <v>3594</v>
      </c>
      <c r="G20" s="6" t="n">
        <v>3594</v>
      </c>
      <c r="H20" s="6" t="n">
        <v>6905</v>
      </c>
      <c r="I20" s="6" t="n">
        <v>6905</v>
      </c>
      <c r="J20" s="6" t="n">
        <v>1800</v>
      </c>
      <c r="K20" s="7" t="n">
        <v>0</v>
      </c>
      <c r="L20" s="8">
        <f>F20+H20+J20+K20*'Правила и допущения'!$B$3</f>
        <v/>
      </c>
      <c r="M20" s="8">
        <f>G20+I20+J20+K20*'Правила и допущения'!$B$3</f>
        <v/>
      </c>
      <c r="N20" s="9" t="n">
        <v>7347</v>
      </c>
      <c r="O20" s="9" t="n">
        <v>8293</v>
      </c>
      <c r="P20" s="9" t="n">
        <v>6500</v>
      </c>
      <c r="Q20" s="10" t="n">
        <v>1</v>
      </c>
      <c r="R20" s="11">
        <f>N20+O20+P20+Q20*'Правила и допущения'!$B$3</f>
        <v/>
      </c>
      <c r="S20" s="7" t="inlineStr">
        <is>
          <t>37 ч 25 мин</t>
        </is>
      </c>
      <c r="T20" s="10" t="inlineStr">
        <is>
          <t>16 ч 20 мин</t>
        </is>
      </c>
      <c r="U20" s="5" t="inlineStr">
        <is>
          <t>Эконом: ночные поезда. Удобный: дневные рейсы</t>
        </is>
      </c>
    </row>
    <row r="21">
      <c r="A21" s="5" t="n">
        <v>17</v>
      </c>
      <c r="B21" s="5" t="inlineStr">
        <is>
          <t>Ильин Д.С.</t>
        </is>
      </c>
      <c r="C21" s="5" t="inlineStr">
        <is>
          <t>уточнить</t>
        </is>
      </c>
      <c r="D21" s="5" t="inlineStr">
        <is>
          <t>Саранск</t>
        </is>
      </c>
      <c r="E21" s="5" t="inlineStr">
        <is>
          <t>Авто</t>
        </is>
      </c>
      <c r="F21" s="6">
        <f>'Авто'!J3/2</f>
        <v/>
      </c>
      <c r="G21" s="6">
        <f>'Авто'!J3/2</f>
        <v/>
      </c>
      <c r="H21" s="6">
        <f>'Авто'!J3/2</f>
        <v/>
      </c>
      <c r="I21" s="6">
        <f>'Авто'!J3/2</f>
        <v/>
      </c>
      <c r="J21" s="6" t="n">
        <v>0</v>
      </c>
      <c r="K21" s="7" t="n">
        <v>0</v>
      </c>
      <c r="L21" s="8">
        <f>F21+H21+J21+K21*'Правила и допущения'!$B$3</f>
        <v/>
      </c>
      <c r="M21" s="8">
        <f>G21+I21+J21+K21*'Правила и допущения'!$B$3</f>
        <v/>
      </c>
      <c r="N21" s="9">
        <f>'Авто'!J3/2</f>
        <v/>
      </c>
      <c r="O21" s="9">
        <f>'Авто'!J3/2</f>
        <v/>
      </c>
      <c r="P21" s="9" t="n">
        <v>0</v>
      </c>
      <c r="Q21" s="10" t="n">
        <v>1</v>
      </c>
      <c r="R21" s="11">
        <f>N21+O21+P21+Q21*'Правила и допущения'!$B$3</f>
        <v/>
      </c>
      <c r="S21" s="7" t="inlineStr">
        <is>
          <t>14 ч 00 мин</t>
        </is>
      </c>
      <c r="T21" s="10" t="inlineStr">
        <is>
          <t>14 ч 00 мин</t>
        </is>
      </c>
      <c r="U21" s="5" t="inlineStr">
        <is>
          <t>Экипаж: Саранск. Удобный = обратно 31.10 утром + ночь</t>
        </is>
      </c>
    </row>
    <row r="22">
      <c r="A22" s="5" t="n">
        <v>18</v>
      </c>
      <c r="B22" s="5" t="inlineStr">
        <is>
          <t>Бобков А.А.</t>
        </is>
      </c>
      <c r="C22" s="5" t="inlineStr">
        <is>
          <t>уточнить</t>
        </is>
      </c>
      <c r="D22" s="5" t="inlineStr">
        <is>
          <t>Саратов</t>
        </is>
      </c>
      <c r="E22" s="5" t="inlineStr">
        <is>
          <t>Поезд / самолёт</t>
        </is>
      </c>
      <c r="F22" s="6" t="n">
        <v>4013</v>
      </c>
      <c r="G22" s="6" t="n">
        <v>4013</v>
      </c>
      <c r="H22" s="6" t="n">
        <v>5012</v>
      </c>
      <c r="I22" s="6" t="n">
        <v>7630</v>
      </c>
      <c r="J22" s="6" t="n">
        <v>2400</v>
      </c>
      <c r="K22" s="7" t="n">
        <v>1</v>
      </c>
      <c r="L22" s="8">
        <f>F22+H22+J22+K22*'Правила и допущения'!$B$3</f>
        <v/>
      </c>
      <c r="M22" s="8">
        <f>G22+I22+J22+K22*'Правила и допущения'!$B$3</f>
        <v/>
      </c>
      <c r="N22" s="9" t="n">
        <v>8442</v>
      </c>
      <c r="O22" s="9" t="n">
        <v>7630</v>
      </c>
      <c r="P22" s="9" t="n">
        <v>4750</v>
      </c>
      <c r="Q22" s="10" t="n">
        <v>1</v>
      </c>
      <c r="R22" s="11">
        <f>N22+O22+P22+Q22*'Правила и допущения'!$B$3</f>
        <v/>
      </c>
      <c r="S22" s="7" t="inlineStr">
        <is>
          <t>28 ч 30 мин</t>
        </is>
      </c>
      <c r="T22" s="10" t="inlineStr">
        <is>
          <t>15 ч 05 мин</t>
        </is>
      </c>
      <c r="U22" s="5" t="inlineStr">
        <is>
          <t>Эконом: ночной поезд туда. Удобный: самолёт днём</t>
        </is>
      </c>
    </row>
    <row r="23">
      <c r="A23" s="5" t="n">
        <v>19</v>
      </c>
      <c r="B23" s="5" t="inlineStr">
        <is>
          <t>Самсонов С.А.</t>
        </is>
      </c>
      <c r="C23" s="5" t="inlineStr">
        <is>
          <t>уточнить</t>
        </is>
      </c>
      <c r="D23" s="5" t="inlineStr">
        <is>
          <t>Ульяновск</t>
        </is>
      </c>
      <c r="E23" s="5" t="inlineStr">
        <is>
          <t>Самолёт</t>
        </is>
      </c>
      <c r="F23" s="6" t="n">
        <v>4938</v>
      </c>
      <c r="G23" s="6" t="n">
        <v>7618</v>
      </c>
      <c r="H23" s="6" t="n">
        <v>5628</v>
      </c>
      <c r="I23" s="6" t="n">
        <v>8367</v>
      </c>
      <c r="J23" s="6" t="n">
        <v>1800</v>
      </c>
      <c r="K23" s="7" t="n">
        <v>1</v>
      </c>
      <c r="L23" s="8">
        <f>F23+H23+J23+K23*'Правила и допущения'!$B$3</f>
        <v/>
      </c>
      <c r="M23" s="8">
        <f>G23+I23+J23+K23*'Правила и допущения'!$B$3</f>
        <v/>
      </c>
      <c r="N23" s="9" t="n">
        <v>7618</v>
      </c>
      <c r="O23" s="9" t="n">
        <v>8367</v>
      </c>
      <c r="P23" s="9" t="n">
        <v>4500</v>
      </c>
      <c r="Q23" s="10" t="n">
        <v>1</v>
      </c>
      <c r="R23" s="11">
        <f>N23+O23+P23+Q23*'Правила и допущения'!$B$3</f>
        <v/>
      </c>
      <c r="S23" s="7" t="inlineStr">
        <is>
          <t>14 ч 40 мин</t>
        </is>
      </c>
      <c r="T23" s="10" t="inlineStr">
        <is>
          <t>14 ч 40 мин</t>
        </is>
      </c>
      <c r="U23" s="5" t="inlineStr">
        <is>
          <t>Эконом = удобный</t>
        </is>
      </c>
    </row>
    <row r="24">
      <c r="A24" s="5" t="n">
        <v>20</v>
      </c>
      <c r="B24" s="5" t="inlineStr">
        <is>
          <t>Каратаев Д.В.</t>
        </is>
      </c>
      <c r="C24" s="5" t="inlineStr">
        <is>
          <t>уточнить</t>
        </is>
      </c>
      <c r="D24" s="5" t="inlineStr">
        <is>
          <t>Чебоксары</t>
        </is>
      </c>
      <c r="E24" s="5" t="inlineStr">
        <is>
          <t>Самолёт / поезд</t>
        </is>
      </c>
      <c r="F24" s="6" t="n">
        <v>4214</v>
      </c>
      <c r="G24" s="6" t="n">
        <v>6754</v>
      </c>
      <c r="H24" s="6" t="n">
        <v>3884</v>
      </c>
      <c r="I24" s="6" t="n">
        <v>3884</v>
      </c>
      <c r="J24" s="6" t="n">
        <v>3000</v>
      </c>
      <c r="K24" s="7" t="n">
        <v>0</v>
      </c>
      <c r="L24" s="8">
        <f>F24+H24+J24+K24*'Правила и допущения'!$B$3</f>
        <v/>
      </c>
      <c r="M24" s="8">
        <f>G24+I24+J24+K24*'Правила и допущения'!$B$3</f>
        <v/>
      </c>
      <c r="N24" s="9" t="n">
        <v>6754</v>
      </c>
      <c r="O24" s="9" t="n">
        <v>6754</v>
      </c>
      <c r="P24" s="9" t="n">
        <v>6500</v>
      </c>
      <c r="Q24" s="10" t="n">
        <v>1</v>
      </c>
      <c r="R24" s="11">
        <f>N24+O24+P24+Q24*'Правила и допущения'!$B$3</f>
        <v/>
      </c>
      <c r="S24" s="7" t="inlineStr">
        <is>
          <t>24 ч 40 мин</t>
        </is>
      </c>
      <c r="T24" s="10" t="inlineStr">
        <is>
          <t>14 ч 55 мин</t>
        </is>
      </c>
      <c r="U24" s="5" t="inlineStr">
        <is>
          <t>Туда самолёт днём; эконом обратно — ночной поезд</t>
        </is>
      </c>
    </row>
    <row r="25">
      <c r="A25" s="5" t="n">
        <v>21</v>
      </c>
      <c r="B25" s="5" t="inlineStr">
        <is>
          <t>Рябов И.А.</t>
        </is>
      </c>
      <c r="C25" s="5" t="inlineStr">
        <is>
          <t>Начальник склада</t>
        </is>
      </c>
      <c r="D25" s="5" t="inlineStr">
        <is>
          <t>Ульяновск</t>
        </is>
      </c>
      <c r="E25" s="5" t="inlineStr">
        <is>
          <t>Самолёт</t>
        </is>
      </c>
      <c r="F25" s="6" t="n">
        <v>4938</v>
      </c>
      <c r="G25" s="6" t="n">
        <v>7618</v>
      </c>
      <c r="H25" s="6" t="n">
        <v>5628</v>
      </c>
      <c r="I25" s="6" t="n">
        <v>8367</v>
      </c>
      <c r="J25" s="6" t="n">
        <v>1800</v>
      </c>
      <c r="K25" s="7" t="n">
        <v>1</v>
      </c>
      <c r="L25" s="8">
        <f>F25+H25+J25+K25*'Правила и допущения'!$B$3</f>
        <v/>
      </c>
      <c r="M25" s="8">
        <f>G25+I25+J25+K25*'Правила и допущения'!$B$3</f>
        <v/>
      </c>
      <c r="N25" s="9" t="n">
        <v>7618</v>
      </c>
      <c r="O25" s="9" t="n">
        <v>8367</v>
      </c>
      <c r="P25" s="9" t="n">
        <v>4500</v>
      </c>
      <c r="Q25" s="10" t="n">
        <v>1</v>
      </c>
      <c r="R25" s="11">
        <f>N25+O25+P25+Q25*'Правила и допущения'!$B$3</f>
        <v/>
      </c>
      <c r="S25" s="7" t="inlineStr">
        <is>
          <t>14 ч 40 мин</t>
        </is>
      </c>
      <c r="T25" s="10" t="inlineStr">
        <is>
          <t>14 ч 40 мин</t>
        </is>
      </c>
      <c r="U25" s="5" t="inlineStr">
        <is>
          <t>Эконом = удобный</t>
        </is>
      </c>
    </row>
    <row r="26">
      <c r="A26" s="5" t="n">
        <v>22</v>
      </c>
      <c r="B26" s="5" t="inlineStr">
        <is>
          <t>Федосеенко Т.А.</t>
        </is>
      </c>
      <c r="C26" s="5" t="inlineStr">
        <is>
          <t>уточнить</t>
        </is>
      </c>
      <c r="D26" s="5" t="inlineStr">
        <is>
          <t>Улан-Удэ</t>
        </is>
      </c>
      <c r="E26" s="5" t="inlineStr">
        <is>
          <t>Самолёт</t>
        </is>
      </c>
      <c r="F26" s="6" t="n">
        <v>16931</v>
      </c>
      <c r="G26" s="6" t="n">
        <v>21094</v>
      </c>
      <c r="H26" s="6" t="n">
        <v>21098</v>
      </c>
      <c r="I26" s="6" t="n">
        <v>28884</v>
      </c>
      <c r="J26" s="6" t="n">
        <v>2700</v>
      </c>
      <c r="K26" s="7" t="n">
        <v>0</v>
      </c>
      <c r="L26" s="8">
        <f>F26+H26+J26+K26*'Правила и допущения'!$B$3</f>
        <v/>
      </c>
      <c r="M26" s="8">
        <f>G26+I26+J26+K26*'Правила и допущения'!$B$3</f>
        <v/>
      </c>
      <c r="N26" s="9" t="n">
        <v>21094</v>
      </c>
      <c r="O26" s="9" t="n">
        <v>21094</v>
      </c>
      <c r="P26" s="9" t="n">
        <v>10000</v>
      </c>
      <c r="Q26" s="10" t="n">
        <v>1</v>
      </c>
      <c r="R26" s="11">
        <f>N26+O26+P26+Q26*'Правила и допущения'!$B$3</f>
        <v/>
      </c>
      <c r="S26" s="7" t="inlineStr">
        <is>
          <t>23 ч 55 мин</t>
        </is>
      </c>
      <c r="T26" s="10" t="inlineStr">
        <is>
          <t>24 ч 10 мин</t>
        </is>
      </c>
      <c r="U26" s="5" t="inlineStr">
        <is>
          <t>Обратно дневных рейсов нет — вечер 31.10, прилёт утром</t>
        </is>
      </c>
    </row>
    <row r="27">
      <c r="A27" s="5" t="n">
        <v>23</v>
      </c>
      <c r="B27" s="5" t="inlineStr">
        <is>
          <t>Шевченко С.В.</t>
        </is>
      </c>
      <c r="C27" s="5" t="inlineStr">
        <is>
          <t>Межгород</t>
        </is>
      </c>
      <c r="D27" s="5" t="inlineStr">
        <is>
          <t>Иркутск</t>
        </is>
      </c>
      <c r="E27" s="5" t="inlineStr">
        <is>
          <t>Самолёт</t>
        </is>
      </c>
      <c r="F27" s="6" t="n">
        <v>12305</v>
      </c>
      <c r="G27" s="6" t="n">
        <v>15862</v>
      </c>
      <c r="H27" s="6" t="n">
        <v>12308</v>
      </c>
      <c r="I27" s="6" t="n">
        <v>15879</v>
      </c>
      <c r="J27" s="6" t="n">
        <v>1800</v>
      </c>
      <c r="K27" s="7" t="n">
        <v>1</v>
      </c>
      <c r="L27" s="8">
        <f>F27+H27+J27+K27*'Правила и допущения'!$B$3</f>
        <v/>
      </c>
      <c r="M27" s="8">
        <f>G27+I27+J27+K27*'Правила и допущения'!$B$3</f>
        <v/>
      </c>
      <c r="N27" s="9" t="n">
        <v>17607</v>
      </c>
      <c r="O27" s="9" t="n">
        <v>19332</v>
      </c>
      <c r="P27" s="9" t="n">
        <v>2200</v>
      </c>
      <c r="Q27" s="10" t="n">
        <v>1</v>
      </c>
      <c r="R27" s="11">
        <f>N27+O27+P27+Q27*'Правила и допущения'!$B$3</f>
        <v/>
      </c>
      <c r="S27" s="7" t="inlineStr">
        <is>
          <t>22 ч 45 мин</t>
        </is>
      </c>
      <c r="T27" s="10" t="inlineStr">
        <is>
          <t>23 ч 45 мин</t>
        </is>
      </c>
      <c r="U27" s="5" t="inlineStr">
        <is>
          <t>Группа 5 чел.: минивэн</t>
        </is>
      </c>
    </row>
    <row r="28">
      <c r="A28" s="5" t="n">
        <v>24</v>
      </c>
      <c r="B28" s="5" t="inlineStr">
        <is>
          <t>Донской И.С.</t>
        </is>
      </c>
      <c r="C28" s="5" t="inlineStr">
        <is>
          <t>Оптовый отдел</t>
        </is>
      </c>
      <c r="D28" s="5" t="inlineStr">
        <is>
          <t>Иркутск</t>
        </is>
      </c>
      <c r="E28" s="5" t="inlineStr">
        <is>
          <t>Самолёт</t>
        </is>
      </c>
      <c r="F28" s="6" t="n">
        <v>12305</v>
      </c>
      <c r="G28" s="6" t="n">
        <v>15862</v>
      </c>
      <c r="H28" s="6" t="n">
        <v>12308</v>
      </c>
      <c r="I28" s="6" t="n">
        <v>15879</v>
      </c>
      <c r="J28" s="6" t="n">
        <v>1800</v>
      </c>
      <c r="K28" s="7" t="n">
        <v>1</v>
      </c>
      <c r="L28" s="8">
        <f>F28+H28+J28+K28*'Правила и допущения'!$B$3</f>
        <v/>
      </c>
      <c r="M28" s="8">
        <f>G28+I28+J28+K28*'Правила и допущения'!$B$3</f>
        <v/>
      </c>
      <c r="N28" s="9" t="n">
        <v>17607</v>
      </c>
      <c r="O28" s="9" t="n">
        <v>19332</v>
      </c>
      <c r="P28" s="9" t="n">
        <v>2200</v>
      </c>
      <c r="Q28" s="10" t="n">
        <v>1</v>
      </c>
      <c r="R28" s="11">
        <f>N28+O28+P28+Q28*'Правила и допущения'!$B$3</f>
        <v/>
      </c>
      <c r="S28" s="7" t="inlineStr">
        <is>
          <t>22 ч 45 мин</t>
        </is>
      </c>
      <c r="T28" s="10" t="inlineStr">
        <is>
          <t>23 ч 45 мин</t>
        </is>
      </c>
      <c r="U28" s="5" t="inlineStr">
        <is>
          <t>Группа 5 чел.: минивэн</t>
        </is>
      </c>
    </row>
    <row r="29">
      <c r="A29" s="5" t="n">
        <v>25</v>
      </c>
      <c r="B29" s="5" t="inlineStr">
        <is>
          <t>Друсалевич В.В.</t>
        </is>
      </c>
      <c r="C29" s="5" t="inlineStr">
        <is>
          <t>уточнить</t>
        </is>
      </c>
      <c r="D29" s="5" t="inlineStr">
        <is>
          <t>Иркутск</t>
        </is>
      </c>
      <c r="E29" s="5" t="inlineStr">
        <is>
          <t>Самолёт</t>
        </is>
      </c>
      <c r="F29" s="6" t="n">
        <v>12305</v>
      </c>
      <c r="G29" s="6" t="n">
        <v>15862</v>
      </c>
      <c r="H29" s="6" t="n">
        <v>12308</v>
      </c>
      <c r="I29" s="6" t="n">
        <v>15879</v>
      </c>
      <c r="J29" s="6" t="n">
        <v>1800</v>
      </c>
      <c r="K29" s="7" t="n">
        <v>1</v>
      </c>
      <c r="L29" s="8">
        <f>F29+H29+J29+K29*'Правила и допущения'!$B$3</f>
        <v/>
      </c>
      <c r="M29" s="8">
        <f>G29+I29+J29+K29*'Правила и допущения'!$B$3</f>
        <v/>
      </c>
      <c r="N29" s="9" t="n">
        <v>17607</v>
      </c>
      <c r="O29" s="9" t="n">
        <v>19332</v>
      </c>
      <c r="P29" s="9" t="n">
        <v>2200</v>
      </c>
      <c r="Q29" s="10" t="n">
        <v>1</v>
      </c>
      <c r="R29" s="11">
        <f>N29+O29+P29+Q29*'Правила и допущения'!$B$3</f>
        <v/>
      </c>
      <c r="S29" s="7" t="inlineStr">
        <is>
          <t>22 ч 45 мин</t>
        </is>
      </c>
      <c r="T29" s="10" t="inlineStr">
        <is>
          <t>23 ч 45 мин</t>
        </is>
      </c>
      <c r="U29" s="5" t="inlineStr">
        <is>
          <t>Едет вместе с отцом (Друсалевич В.А.). Группа 5 чел.: минивэн</t>
        </is>
      </c>
    </row>
    <row r="30">
      <c r="A30" s="5" t="n">
        <v>26</v>
      </c>
      <c r="B30" s="5" t="inlineStr">
        <is>
          <t>Бадмацыренов Т.Ц.</t>
        </is>
      </c>
      <c r="C30" s="5" t="inlineStr">
        <is>
          <t>уточнить</t>
        </is>
      </c>
      <c r="D30" s="5" t="inlineStr">
        <is>
          <t>Чита</t>
        </is>
      </c>
      <c r="E30" s="5" t="inlineStr">
        <is>
          <t>Самолёт</t>
        </is>
      </c>
      <c r="F30" s="6" t="n">
        <v>17671</v>
      </c>
      <c r="G30" s="6" t="n">
        <v>25050</v>
      </c>
      <c r="H30" s="6" t="n">
        <v>22835</v>
      </c>
      <c r="I30" s="6" t="n">
        <v>28993</v>
      </c>
      <c r="J30" s="6" t="n">
        <v>2400</v>
      </c>
      <c r="K30" s="7" t="n">
        <v>1</v>
      </c>
      <c r="L30" s="8">
        <f>F30+H30+J30+K30*'Правила и допущения'!$B$3</f>
        <v/>
      </c>
      <c r="M30" s="8">
        <f>G30+I30+J30+K30*'Правила и допущения'!$B$3</f>
        <v/>
      </c>
      <c r="N30" s="9" t="n">
        <v>28993</v>
      </c>
      <c r="O30" s="9" t="n">
        <v>28993</v>
      </c>
      <c r="P30" s="9" t="n">
        <v>6000</v>
      </c>
      <c r="Q30" s="10" t="n">
        <v>1</v>
      </c>
      <c r="R30" s="11">
        <f>N30+O30+P30+Q30*'Правила и допущения'!$B$3</f>
        <v/>
      </c>
      <c r="S30" s="7" t="inlineStr">
        <is>
          <t>29 ч 10 мин</t>
        </is>
      </c>
      <c r="T30" s="10" t="inlineStr">
        <is>
          <t>22 ч 35 мин</t>
        </is>
      </c>
      <c r="U30" s="5" t="inlineStr">
        <is>
          <t>Удобный: прямой рейс днём; обратно только вечерние рейсы</t>
        </is>
      </c>
    </row>
    <row r="31">
      <c r="A31" s="5" t="n">
        <v>27</v>
      </c>
      <c r="B31" s="5" t="inlineStr">
        <is>
          <t>Петрова Т.А.</t>
        </is>
      </c>
      <c r="C31" s="5" t="inlineStr">
        <is>
          <t>уточнить</t>
        </is>
      </c>
      <c r="D31" s="5" t="inlineStr">
        <is>
          <t>Иркутск</t>
        </is>
      </c>
      <c r="E31" s="5" t="inlineStr">
        <is>
          <t>Самолёт</t>
        </is>
      </c>
      <c r="F31" s="6" t="n">
        <v>12305</v>
      </c>
      <c r="G31" s="6" t="n">
        <v>15862</v>
      </c>
      <c r="H31" s="6" t="n">
        <v>12308</v>
      </c>
      <c r="I31" s="6" t="n">
        <v>15879</v>
      </c>
      <c r="J31" s="6" t="n">
        <v>1800</v>
      </c>
      <c r="K31" s="7" t="n">
        <v>1</v>
      </c>
      <c r="L31" s="8">
        <f>F31+H31+J31+K31*'Правила и допущения'!$B$3</f>
        <v/>
      </c>
      <c r="M31" s="8">
        <f>G31+I31+J31+K31*'Правила и допущения'!$B$3</f>
        <v/>
      </c>
      <c r="N31" s="9" t="n">
        <v>17607</v>
      </c>
      <c r="O31" s="9" t="n">
        <v>19332</v>
      </c>
      <c r="P31" s="9" t="n">
        <v>2200</v>
      </c>
      <c r="Q31" s="10" t="n">
        <v>1</v>
      </c>
      <c r="R31" s="11">
        <f>N31+O31+P31+Q31*'Правила и допущения'!$B$3</f>
        <v/>
      </c>
      <c r="S31" s="7" t="inlineStr">
        <is>
          <t>22 ч 45 мин</t>
        </is>
      </c>
      <c r="T31" s="10" t="inlineStr">
        <is>
          <t>23 ч 45 мин</t>
        </is>
      </c>
      <c r="U31" s="5" t="inlineStr">
        <is>
          <t>Группа 5 чел.: минивэн</t>
        </is>
      </c>
    </row>
    <row r="32">
      <c r="A32" s="5" t="n">
        <v>28</v>
      </c>
      <c r="B32" s="5" t="inlineStr">
        <is>
          <t>Летуновский В.М.</t>
        </is>
      </c>
      <c r="C32" s="5" t="inlineStr">
        <is>
          <t>Руководитель ЦЧР</t>
        </is>
      </c>
      <c r="D32" s="5" t="inlineStr">
        <is>
          <t>Воронеж</t>
        </is>
      </c>
      <c r="E32" s="5" t="inlineStr">
        <is>
          <t>Авто</t>
        </is>
      </c>
      <c r="F32" s="6">
        <f>'Авто'!J6/2</f>
        <v/>
      </c>
      <c r="G32" s="6">
        <f>'Авто'!J6/2</f>
        <v/>
      </c>
      <c r="H32" s="6">
        <f>'Авто'!J6/2</f>
        <v/>
      </c>
      <c r="I32" s="6">
        <f>'Авто'!J6/2</f>
        <v/>
      </c>
      <c r="J32" s="6" t="n">
        <v>0</v>
      </c>
      <c r="K32" s="7" t="n">
        <v>0</v>
      </c>
      <c r="L32" s="8">
        <f>F32+H32+J32+K32*'Правила и допущения'!$B$3</f>
        <v/>
      </c>
      <c r="M32" s="8">
        <f>G32+I32+J32+K32*'Правила и допущения'!$B$3</f>
        <v/>
      </c>
      <c r="N32" s="9">
        <f>'Авто'!J6/2</f>
        <v/>
      </c>
      <c r="O32" s="9">
        <f>'Авто'!J6/2</f>
        <v/>
      </c>
      <c r="P32" s="9" t="n">
        <v>0</v>
      </c>
      <c r="Q32" s="10" t="n">
        <v>1</v>
      </c>
      <c r="R32" s="11">
        <f>N32+O32+P32+Q32*'Правила и допущения'!$B$3</f>
        <v/>
      </c>
      <c r="S32" s="7" t="inlineStr">
        <is>
          <t>11 ч 00 мин</t>
        </is>
      </c>
      <c r="T32" s="10" t="inlineStr">
        <is>
          <t>11 ч 00 мин</t>
        </is>
      </c>
      <c r="U32" s="5" t="inlineStr">
        <is>
          <t>Экипаж: Воронеж (2 чел.). Удобный = обратно 31.10 утром + ночь</t>
        </is>
      </c>
    </row>
    <row r="33">
      <c r="A33" s="5" t="n">
        <v>29</v>
      </c>
      <c r="B33" s="5" t="inlineStr">
        <is>
          <t>Иванищева А.В.</t>
        </is>
      </c>
      <c r="C33" s="5" t="inlineStr">
        <is>
          <t>Руководитель РЦ</t>
        </is>
      </c>
      <c r="D33" s="5" t="inlineStr">
        <is>
          <t>Липецк</t>
        </is>
      </c>
      <c r="E33" s="5" t="inlineStr">
        <is>
          <t>Авто</t>
        </is>
      </c>
      <c r="F33" s="6">
        <f>'Авто'!J5/2</f>
        <v/>
      </c>
      <c r="G33" s="6">
        <f>'Авто'!J5/2</f>
        <v/>
      </c>
      <c r="H33" s="6">
        <f>'Авто'!J5/2</f>
        <v/>
      </c>
      <c r="I33" s="6">
        <f>'Авто'!J5/2</f>
        <v/>
      </c>
      <c r="J33" s="6" t="n">
        <v>0</v>
      </c>
      <c r="K33" s="7" t="n">
        <v>0</v>
      </c>
      <c r="L33" s="8">
        <f>F33+H33+J33+K33*'Правила и допущения'!$B$3</f>
        <v/>
      </c>
      <c r="M33" s="8">
        <f>G33+I33+J33+K33*'Правила и допущения'!$B$3</f>
        <v/>
      </c>
      <c r="N33" s="9">
        <f>'Авто'!J5/2</f>
        <v/>
      </c>
      <c r="O33" s="9">
        <f>'Авто'!J5/2</f>
        <v/>
      </c>
      <c r="P33" s="9" t="n">
        <v>0</v>
      </c>
      <c r="Q33" s="10" t="n">
        <v>1</v>
      </c>
      <c r="R33" s="11">
        <f>N33+O33+P33+Q33*'Правила и допущения'!$B$3</f>
        <v/>
      </c>
      <c r="S33" s="7" t="inlineStr">
        <is>
          <t>10 ч 00 мин</t>
        </is>
      </c>
      <c r="T33" s="10" t="inlineStr">
        <is>
          <t>10 ч 00 мин</t>
        </is>
      </c>
      <c r="U33" s="5" t="inlineStr">
        <is>
          <t>Экипаж: Липецк (3 чел.). Удобный = обратно 31.10 утром + ночь</t>
        </is>
      </c>
    </row>
    <row r="34">
      <c r="A34" s="5" t="n">
        <v>30</v>
      </c>
      <c r="B34" s="5" t="inlineStr">
        <is>
          <t>Майоров С.А.</t>
        </is>
      </c>
      <c r="C34" s="5" t="inlineStr">
        <is>
          <t>уточнить</t>
        </is>
      </c>
      <c r="D34" s="5" t="inlineStr">
        <is>
          <t>Астрахань</t>
        </is>
      </c>
      <c r="E34" s="5" t="inlineStr">
        <is>
          <t>Самолёт</t>
        </is>
      </c>
      <c r="F34" s="6" t="n">
        <v>7124</v>
      </c>
      <c r="G34" s="6" t="n">
        <v>9710</v>
      </c>
      <c r="H34" s="6" t="n">
        <v>7124</v>
      </c>
      <c r="I34" s="6" t="n">
        <v>9710</v>
      </c>
      <c r="J34" s="6" t="n">
        <v>3000</v>
      </c>
      <c r="K34" s="7" t="n">
        <v>1</v>
      </c>
      <c r="L34" s="8">
        <f>F34+H34+J34+K34*'Правила и допущения'!$B$3</f>
        <v/>
      </c>
      <c r="M34" s="8">
        <f>G34+I34+J34+K34*'Правила и допущения'!$B$3</f>
        <v/>
      </c>
      <c r="N34" s="9" t="n">
        <v>9710</v>
      </c>
      <c r="O34" s="9" t="n">
        <v>9710</v>
      </c>
      <c r="P34" s="9" t="n">
        <v>6500</v>
      </c>
      <c r="Q34" s="10" t="n">
        <v>1</v>
      </c>
      <c r="R34" s="11">
        <f>N34+O34+P34+Q34*'Правила и допущения'!$B$3</f>
        <v/>
      </c>
      <c r="S34" s="7" t="inlineStr">
        <is>
          <t>17 ч 15 мин</t>
        </is>
      </c>
      <c r="T34" s="10" t="inlineStr">
        <is>
          <t>17 ч 15 мин</t>
        </is>
      </c>
      <c r="U34" s="5" t="inlineStr">
        <is>
          <t>Эконом = удобный</t>
        </is>
      </c>
    </row>
    <row r="35">
      <c r="A35" s="5" t="n">
        <v>31</v>
      </c>
      <c r="B35" s="5" t="inlineStr">
        <is>
          <t>Несмачный А.П.</t>
        </is>
      </c>
      <c r="C35" s="5" t="inlineStr">
        <is>
          <t>уточнить</t>
        </is>
      </c>
      <c r="D35" s="5" t="inlineStr">
        <is>
          <t>Белгород</t>
        </is>
      </c>
      <c r="E35" s="5" t="inlineStr">
        <is>
          <t>Поезд</t>
        </is>
      </c>
      <c r="F35" s="6" t="n">
        <v>2739</v>
      </c>
      <c r="G35" s="6" t="n">
        <v>2739</v>
      </c>
      <c r="H35" s="6" t="n">
        <v>3947</v>
      </c>
      <c r="I35" s="6" t="n">
        <v>3947</v>
      </c>
      <c r="J35" s="6" t="n">
        <v>1800</v>
      </c>
      <c r="K35" s="7" t="n">
        <v>0</v>
      </c>
      <c r="L35" s="8">
        <f>F35+H35+J35+K35*'Правила и допущения'!$B$3</f>
        <v/>
      </c>
      <c r="M35" s="8">
        <f>G35+I35+J35+K35*'Правила и допущения'!$B$3</f>
        <v/>
      </c>
      <c r="N35" s="9" t="n">
        <v>2739</v>
      </c>
      <c r="O35" s="9" t="n">
        <v>2674</v>
      </c>
      <c r="P35" s="9" t="n">
        <v>1800</v>
      </c>
      <c r="Q35" s="10" t="n">
        <v>1</v>
      </c>
      <c r="R35" s="11">
        <f>N35+O35+P35+Q35*'Правила и допущения'!$B$3</f>
        <v/>
      </c>
      <c r="S35" s="7" t="inlineStr">
        <is>
          <t>31 ч 55 мин</t>
        </is>
      </c>
      <c r="T35" s="10" t="inlineStr">
        <is>
          <t>22 ч 00 мин</t>
        </is>
      </c>
      <c r="U35" s="5" t="inlineStr">
        <is>
          <t>Туда Ласточка днём; эконом обратно — ночной поезд</t>
        </is>
      </c>
    </row>
    <row r="36">
      <c r="A36" s="5" t="n">
        <v>32</v>
      </c>
      <c r="B36" s="5" t="inlineStr">
        <is>
          <t>Бондарев С.А.</t>
        </is>
      </c>
      <c r="C36" s="5" t="inlineStr">
        <is>
          <t>уточнить</t>
        </is>
      </c>
      <c r="D36" s="5" t="inlineStr">
        <is>
          <t>Брянск</t>
        </is>
      </c>
      <c r="E36" s="5" t="inlineStr">
        <is>
          <t>Авто</t>
        </is>
      </c>
      <c r="F36" s="6">
        <f>'Авто'!J7/2</f>
        <v/>
      </c>
      <c r="G36" s="6">
        <f>'Авто'!J7/2</f>
        <v/>
      </c>
      <c r="H36" s="6">
        <f>'Авто'!J7/2</f>
        <v/>
      </c>
      <c r="I36" s="6">
        <f>'Авто'!J7/2</f>
        <v/>
      </c>
      <c r="J36" s="6" t="n">
        <v>0</v>
      </c>
      <c r="K36" s="7" t="n">
        <v>0</v>
      </c>
      <c r="L36" s="8">
        <f>F36+H36+J36+K36*'Правила и допущения'!$B$3</f>
        <v/>
      </c>
      <c r="M36" s="8">
        <f>G36+I36+J36+K36*'Правила и допущения'!$B$3</f>
        <v/>
      </c>
      <c r="N36" s="9">
        <f>'Авто'!J7/2</f>
        <v/>
      </c>
      <c r="O36" s="9">
        <f>'Авто'!J7/2</f>
        <v/>
      </c>
      <c r="P36" s="9" t="n">
        <v>0</v>
      </c>
      <c r="Q36" s="10" t="n">
        <v>1</v>
      </c>
      <c r="R36" s="11">
        <f>N36+O36+P36+Q36*'Правила и допущения'!$B$3</f>
        <v/>
      </c>
      <c r="S36" s="7" t="inlineStr">
        <is>
          <t>13 ч 00 мин</t>
        </is>
      </c>
      <c r="T36" s="10" t="inlineStr">
        <is>
          <t>13 ч 00 мин</t>
        </is>
      </c>
      <c r="U36" s="5" t="inlineStr">
        <is>
          <t>Экипаж: Брянск + Орёл. Удобный = обратно 31.10 утром + ночь</t>
        </is>
      </c>
    </row>
    <row r="37">
      <c r="A37" s="5" t="n">
        <v>33</v>
      </c>
      <c r="B37" s="5" t="inlineStr">
        <is>
          <t>Ситин В.А.</t>
        </is>
      </c>
      <c r="C37" s="5" t="inlineStr">
        <is>
          <t>уточнить</t>
        </is>
      </c>
      <c r="D37" s="5" t="inlineStr">
        <is>
          <t>Волгоград</t>
        </is>
      </c>
      <c r="E37" s="5" t="inlineStr">
        <is>
          <t>Самолёт</t>
        </is>
      </c>
      <c r="F37" s="6" t="n">
        <v>6406</v>
      </c>
      <c r="G37" s="6" t="n">
        <v>9061</v>
      </c>
      <c r="H37" s="6" t="n">
        <v>7155</v>
      </c>
      <c r="I37" s="6" t="n">
        <v>9893</v>
      </c>
      <c r="J37" s="6" t="n">
        <v>3000</v>
      </c>
      <c r="K37" s="7" t="n">
        <v>1</v>
      </c>
      <c r="L37" s="8">
        <f>F37+H37+J37+K37*'Правила и допущения'!$B$3</f>
        <v/>
      </c>
      <c r="M37" s="8">
        <f>G37+I37+J37+K37*'Правила и допущения'!$B$3</f>
        <v/>
      </c>
      <c r="N37" s="9" t="n">
        <v>9061</v>
      </c>
      <c r="O37" s="9" t="n">
        <v>9893</v>
      </c>
      <c r="P37" s="9" t="n">
        <v>6500</v>
      </c>
      <c r="Q37" s="10" t="n">
        <v>1</v>
      </c>
      <c r="R37" s="11">
        <f>N37+O37+P37+Q37*'Правила и допущения'!$B$3</f>
        <v/>
      </c>
      <c r="S37" s="7" t="inlineStr">
        <is>
          <t>16 ч 50 мин</t>
        </is>
      </c>
      <c r="T37" s="10" t="inlineStr">
        <is>
          <t>16 ч 50 мин</t>
        </is>
      </c>
      <c r="U37" s="5" t="inlineStr">
        <is>
          <t>Эконом = удобный</t>
        </is>
      </c>
    </row>
    <row r="38">
      <c r="A38" s="5" t="n">
        <v>34</v>
      </c>
      <c r="B38" s="5" t="inlineStr">
        <is>
          <t>Штанько О.М.</t>
        </is>
      </c>
      <c r="C38" s="5" t="inlineStr">
        <is>
          <t>уточнить</t>
        </is>
      </c>
      <c r="D38" s="5" t="inlineStr">
        <is>
          <t>Воронеж</t>
        </is>
      </c>
      <c r="E38" s="5" t="inlineStr">
        <is>
          <t>Авто</t>
        </is>
      </c>
      <c r="F38" s="6">
        <f>'Авто'!J6/2</f>
        <v/>
      </c>
      <c r="G38" s="6">
        <f>'Авто'!J6/2</f>
        <v/>
      </c>
      <c r="H38" s="6">
        <f>'Авто'!J6/2</f>
        <v/>
      </c>
      <c r="I38" s="6">
        <f>'Авто'!J6/2</f>
        <v/>
      </c>
      <c r="J38" s="6" t="n">
        <v>0</v>
      </c>
      <c r="K38" s="7" t="n">
        <v>0</v>
      </c>
      <c r="L38" s="8">
        <f>F38+H38+J38+K38*'Правила и допущения'!$B$3</f>
        <v/>
      </c>
      <c r="M38" s="8">
        <f>G38+I38+J38+K38*'Правила и допущения'!$B$3</f>
        <v/>
      </c>
      <c r="N38" s="9">
        <f>'Авто'!J6/2</f>
        <v/>
      </c>
      <c r="O38" s="9">
        <f>'Авто'!J6/2</f>
        <v/>
      </c>
      <c r="P38" s="9" t="n">
        <v>0</v>
      </c>
      <c r="Q38" s="10" t="n">
        <v>1</v>
      </c>
      <c r="R38" s="11">
        <f>N38+O38+P38+Q38*'Правила и допущения'!$B$3</f>
        <v/>
      </c>
      <c r="S38" s="7" t="inlineStr">
        <is>
          <t>11 ч 00 мин</t>
        </is>
      </c>
      <c r="T38" s="10" t="inlineStr">
        <is>
          <t>11 ч 00 мин</t>
        </is>
      </c>
      <c r="U38" s="5" t="inlineStr">
        <is>
          <t>Экипаж: Воронеж (2 чел.). Удобный = обратно 31.10 утром + ночь</t>
        </is>
      </c>
    </row>
    <row r="39">
      <c r="A39" s="5" t="n">
        <v>35</v>
      </c>
      <c r="B39" s="5" t="inlineStr">
        <is>
          <t>Кузнецов А.А.</t>
        </is>
      </c>
      <c r="C39" s="5" t="inlineStr">
        <is>
          <t>уточнить</t>
        </is>
      </c>
      <c r="D39" s="5" t="inlineStr">
        <is>
          <t>Липецк</t>
        </is>
      </c>
      <c r="E39" s="5" t="inlineStr">
        <is>
          <t>Авто</t>
        </is>
      </c>
      <c r="F39" s="6">
        <f>'Авто'!J5/2</f>
        <v/>
      </c>
      <c r="G39" s="6">
        <f>'Авто'!J5/2</f>
        <v/>
      </c>
      <c r="H39" s="6">
        <f>'Авто'!J5/2</f>
        <v/>
      </c>
      <c r="I39" s="6">
        <f>'Авто'!J5/2</f>
        <v/>
      </c>
      <c r="J39" s="6" t="n">
        <v>0</v>
      </c>
      <c r="K39" s="7" t="n">
        <v>0</v>
      </c>
      <c r="L39" s="8">
        <f>F39+H39+J39+K39*'Правила и допущения'!$B$3</f>
        <v/>
      </c>
      <c r="M39" s="8">
        <f>G39+I39+J39+K39*'Правила и допущения'!$B$3</f>
        <v/>
      </c>
      <c r="N39" s="9">
        <f>'Авто'!J5/2</f>
        <v/>
      </c>
      <c r="O39" s="9">
        <f>'Авто'!J5/2</f>
        <v/>
      </c>
      <c r="P39" s="9" t="n">
        <v>0</v>
      </c>
      <c r="Q39" s="10" t="n">
        <v>1</v>
      </c>
      <c r="R39" s="11">
        <f>N39+O39+P39+Q39*'Правила и допущения'!$B$3</f>
        <v/>
      </c>
      <c r="S39" s="7" t="inlineStr">
        <is>
          <t>10 ч 00 мин</t>
        </is>
      </c>
      <c r="T39" s="10" t="inlineStr">
        <is>
          <t>10 ч 00 мин</t>
        </is>
      </c>
      <c r="U39" s="5" t="inlineStr">
        <is>
          <t>Экипаж: Липецк (3 чел.). Удобный = обратно 31.10 утром + ночь</t>
        </is>
      </c>
    </row>
    <row r="40">
      <c r="A40" s="5" t="n">
        <v>36</v>
      </c>
      <c r="B40" s="5" t="inlineStr">
        <is>
          <t>Мамонов С.В.</t>
        </is>
      </c>
      <c r="C40" s="5" t="inlineStr">
        <is>
          <t>уточнить</t>
        </is>
      </c>
      <c r="D40" s="5" t="inlineStr">
        <is>
          <t>Орёл</t>
        </is>
      </c>
      <c r="E40" s="5" t="inlineStr">
        <is>
          <t>Авто</t>
        </is>
      </c>
      <c r="F40" s="6">
        <f>'Авто'!J7/2</f>
        <v/>
      </c>
      <c r="G40" s="6">
        <f>'Авто'!J7/2</f>
        <v/>
      </c>
      <c r="H40" s="6">
        <f>'Авто'!J7/2</f>
        <v/>
      </c>
      <c r="I40" s="6">
        <f>'Авто'!J7/2</f>
        <v/>
      </c>
      <c r="J40" s="6" t="n">
        <v>0</v>
      </c>
      <c r="K40" s="7" t="n">
        <v>0</v>
      </c>
      <c r="L40" s="8">
        <f>F40+H40+J40+K40*'Правила и допущения'!$B$3</f>
        <v/>
      </c>
      <c r="M40" s="8">
        <f>G40+I40+J40+K40*'Правила и допущения'!$B$3</f>
        <v/>
      </c>
      <c r="N40" s="9">
        <f>'Авто'!J7/2</f>
        <v/>
      </c>
      <c r="O40" s="9">
        <f>'Авто'!J7/2</f>
        <v/>
      </c>
      <c r="P40" s="9" t="n">
        <v>0</v>
      </c>
      <c r="Q40" s="10" t="n">
        <v>1</v>
      </c>
      <c r="R40" s="11">
        <f>N40+O40+P40+Q40*'Правила и допущения'!$B$3</f>
        <v/>
      </c>
      <c r="S40" s="7" t="inlineStr">
        <is>
          <t>13 ч 00 мин</t>
        </is>
      </c>
      <c r="T40" s="10" t="inlineStr">
        <is>
          <t>13 ч 00 мин</t>
        </is>
      </c>
      <c r="U40" s="5" t="inlineStr">
        <is>
          <t>Экипаж: Брянск + Орёл. Удобный = обратно 31.10 утром + ночь</t>
        </is>
      </c>
    </row>
    <row r="41">
      <c r="A41" s="5" t="n">
        <v>37</v>
      </c>
      <c r="B41" s="5" t="inlineStr">
        <is>
          <t>Козак С.С.</t>
        </is>
      </c>
      <c r="C41" s="5" t="inlineStr">
        <is>
          <t>уточнить</t>
        </is>
      </c>
      <c r="D41" s="5" t="inlineStr">
        <is>
          <t>Донецк</t>
        </is>
      </c>
      <c r="E41" s="5" t="inlineStr">
        <is>
          <t>Автобус / поезд через Ростов</t>
        </is>
      </c>
      <c r="F41" s="6" t="n">
        <v>3500</v>
      </c>
      <c r="G41" s="6" t="n">
        <v>3500</v>
      </c>
      <c r="H41" s="6" t="n">
        <v>4000</v>
      </c>
      <c r="I41" s="6" t="n">
        <v>4000</v>
      </c>
      <c r="J41" s="6" t="n">
        <v>1800</v>
      </c>
      <c r="K41" s="7" t="n">
        <v>1</v>
      </c>
      <c r="L41" s="8">
        <f>F41+H41+J41+K41*'Правила и допущения'!$B$3</f>
        <v/>
      </c>
      <c r="M41" s="8">
        <f>G41+I41+J41+K41*'Правила и допущения'!$B$3</f>
        <v/>
      </c>
      <c r="N41" s="9" t="n">
        <v>6793</v>
      </c>
      <c r="O41" s="9" t="n">
        <v>7132</v>
      </c>
      <c r="P41" s="9" t="n">
        <v>4800</v>
      </c>
      <c r="Q41" s="10" t="n">
        <v>0</v>
      </c>
      <c r="R41" s="11">
        <f>N41+O41+P41+Q41*'Правила и допущения'!$B$3</f>
        <v/>
      </c>
      <c r="S41" s="7" t="inlineStr">
        <is>
          <t>51 ч 30 мин</t>
        </is>
      </c>
      <c r="T41" s="10" t="inlineStr">
        <is>
          <t>59 ч 00 мин</t>
        </is>
      </c>
      <c r="U41" s="5" t="inlineStr">
        <is>
          <t>Ночь в дороге неизбежна; удобный — в купе. Вкл. Донецк—Ростов ~1 500 ₽ в каждую сторону</t>
        </is>
      </c>
    </row>
    <row r="42">
      <c r="A42" s="5" t="n">
        <v>38</v>
      </c>
      <c r="B42" s="5" t="inlineStr">
        <is>
          <t>Горелкин Д.Е.</t>
        </is>
      </c>
      <c r="C42" s="5" t="inlineStr">
        <is>
          <t>уточнить</t>
        </is>
      </c>
      <c r="D42" s="5" t="inlineStr">
        <is>
          <t>Тамбов</t>
        </is>
      </c>
      <c r="E42" s="5" t="inlineStr">
        <is>
          <t>Авто</t>
        </is>
      </c>
      <c r="F42" s="6">
        <f>'Авто'!J4/2</f>
        <v/>
      </c>
      <c r="G42" s="6">
        <f>'Авто'!J4/2</f>
        <v/>
      </c>
      <c r="H42" s="6">
        <f>'Авто'!J4/2</f>
        <v/>
      </c>
      <c r="I42" s="6">
        <f>'Авто'!J4/2</f>
        <v/>
      </c>
      <c r="J42" s="6" t="n">
        <v>0</v>
      </c>
      <c r="K42" s="7" t="n">
        <v>0</v>
      </c>
      <c r="L42" s="8">
        <f>F42+H42+J42+K42*'Правила и допущения'!$B$3</f>
        <v/>
      </c>
      <c r="M42" s="8">
        <f>G42+I42+J42+K42*'Правила и допущения'!$B$3</f>
        <v/>
      </c>
      <c r="N42" s="9">
        <f>'Авто'!J4/2</f>
        <v/>
      </c>
      <c r="O42" s="9">
        <f>'Авто'!J4/2</f>
        <v/>
      </c>
      <c r="P42" s="9" t="n">
        <v>0</v>
      </c>
      <c r="Q42" s="10" t="n">
        <v>1</v>
      </c>
      <c r="R42" s="11">
        <f>N42+O42+P42+Q42*'Правила и допущения'!$B$3</f>
        <v/>
      </c>
      <c r="S42" s="7" t="inlineStr">
        <is>
          <t>10 ч 00 мин</t>
        </is>
      </c>
      <c r="T42" s="10" t="inlineStr">
        <is>
          <t>10 ч 00 мин</t>
        </is>
      </c>
      <c r="U42" s="5" t="inlineStr">
        <is>
          <t>Экипаж: Тамбов. Удобный = обратно 31.10 утром + ночь</t>
        </is>
      </c>
    </row>
    <row r="43">
      <c r="A43" s="5" t="n">
        <v>39</v>
      </c>
      <c r="B43" s="5" t="inlineStr">
        <is>
          <t>Зайцев С.А.</t>
        </is>
      </c>
      <c r="C43" s="5" t="inlineStr">
        <is>
          <t>уточнить</t>
        </is>
      </c>
      <c r="D43" s="5" t="inlineStr">
        <is>
          <t>Липецк</t>
        </is>
      </c>
      <c r="E43" s="5" t="inlineStr">
        <is>
          <t>Авто</t>
        </is>
      </c>
      <c r="F43" s="6">
        <f>'Авто'!J5/2</f>
        <v/>
      </c>
      <c r="G43" s="6">
        <f>'Авто'!J5/2</f>
        <v/>
      </c>
      <c r="H43" s="6">
        <f>'Авто'!J5/2</f>
        <v/>
      </c>
      <c r="I43" s="6">
        <f>'Авто'!J5/2</f>
        <v/>
      </c>
      <c r="J43" s="6" t="n">
        <v>0</v>
      </c>
      <c r="K43" s="7" t="n">
        <v>0</v>
      </c>
      <c r="L43" s="8">
        <f>F43+H43+J43+K43*'Правила и допущения'!$B$3</f>
        <v/>
      </c>
      <c r="M43" s="8">
        <f>G43+I43+J43+K43*'Правила и допущения'!$B$3</f>
        <v/>
      </c>
      <c r="N43" s="9">
        <f>'Авто'!J5/2</f>
        <v/>
      </c>
      <c r="O43" s="9">
        <f>'Авто'!J5/2</f>
        <v/>
      </c>
      <c r="P43" s="9" t="n">
        <v>0</v>
      </c>
      <c r="Q43" s="10" t="n">
        <v>1</v>
      </c>
      <c r="R43" s="11">
        <f>N43+O43+P43+Q43*'Правила и допущения'!$B$3</f>
        <v/>
      </c>
      <c r="S43" s="7" t="inlineStr">
        <is>
          <t>10 ч 00 мин</t>
        </is>
      </c>
      <c r="T43" s="10" t="inlineStr">
        <is>
          <t>10 ч 00 мин</t>
        </is>
      </c>
      <c r="U43" s="5" t="inlineStr">
        <is>
          <t>Экипаж: Липецк (3 чел.). Удобный = обратно 31.10 утром + ночь</t>
        </is>
      </c>
    </row>
    <row r="44">
      <c r="A44" s="5" t="n">
        <v>40</v>
      </c>
      <c r="B44" s="5" t="inlineStr">
        <is>
          <t>Друсалевич Владимир Анатольевич</t>
        </is>
      </c>
      <c r="C44" s="5" t="inlineStr">
        <is>
          <t>Директор</t>
        </is>
      </c>
      <c r="D44" s="5" t="inlineStr">
        <is>
          <t>Иркутск</t>
        </is>
      </c>
      <c r="E44" s="5" t="inlineStr">
        <is>
          <t>Самолёт</t>
        </is>
      </c>
      <c r="F44" s="6" t="n">
        <v>12305</v>
      </c>
      <c r="G44" s="6" t="n">
        <v>15862</v>
      </c>
      <c r="H44" s="6" t="n">
        <v>12308</v>
      </c>
      <c r="I44" s="6" t="n">
        <v>15879</v>
      </c>
      <c r="J44" s="6" t="n">
        <v>1800</v>
      </c>
      <c r="K44" s="7" t="n">
        <v>1</v>
      </c>
      <c r="L44" s="8">
        <f>F44+H44+J44+K44*'Правила и допущения'!$B$3</f>
        <v/>
      </c>
      <c r="M44" s="8">
        <f>G44+I44+J44+K44*'Правила и допущения'!$B$3</f>
        <v/>
      </c>
      <c r="N44" s="9" t="n">
        <v>17607</v>
      </c>
      <c r="O44" s="9" t="n">
        <v>19332</v>
      </c>
      <c r="P44" s="9" t="n">
        <v>2200</v>
      </c>
      <c r="Q44" s="10" t="n">
        <v>1</v>
      </c>
      <c r="R44" s="11">
        <f>N44+O44+P44+Q44*'Правила и допущения'!$B$3</f>
        <v/>
      </c>
      <c r="S44" s="7" t="inlineStr">
        <is>
          <t>22 ч 45 мин</t>
        </is>
      </c>
      <c r="T44" s="10" t="inlineStr">
        <is>
          <t>23 ч 45 мин</t>
        </is>
      </c>
      <c r="U44" s="5" t="inlineStr">
        <is>
          <t>Едет вместе с сыном (Друсалевич В.В.). Группа 5 чел.: минивэн</t>
        </is>
      </c>
    </row>
    <row r="45">
      <c r="A45" s="5" t="n">
        <v>41</v>
      </c>
      <c r="B45" s="5" t="inlineStr">
        <is>
          <t>Колчин Андрей Ильич</t>
        </is>
      </c>
      <c r="C45" s="5" t="inlineStr">
        <is>
          <t>уточнить</t>
        </is>
      </c>
      <c r="D45" s="5" t="inlineStr">
        <is>
          <t>Москва</t>
        </is>
      </c>
      <c r="E45" s="5" t="inlineStr">
        <is>
          <t>Электричка / авто</t>
        </is>
      </c>
      <c r="F45" s="6" t="n">
        <v>490</v>
      </c>
      <c r="G45" s="6" t="n">
        <v>490</v>
      </c>
      <c r="H45" s="6" t="n">
        <v>490</v>
      </c>
      <c r="I45" s="6" t="n">
        <v>490</v>
      </c>
      <c r="J45" s="6" t="n">
        <v>800</v>
      </c>
      <c r="K45" s="7" t="n">
        <v>0</v>
      </c>
      <c r="L45" s="8">
        <f>F45+H45+J45+K45*'Правила и допущения'!$B$3</f>
        <v/>
      </c>
      <c r="M45" s="8">
        <f>G45+I45+J45+K45*'Правила и допущения'!$B$3</f>
        <v/>
      </c>
      <c r="N45" s="9" t="n">
        <v>750</v>
      </c>
      <c r="O45" s="9" t="n">
        <v>750</v>
      </c>
      <c r="P45" s="9" t="n">
        <v>0</v>
      </c>
      <c r="Q45" s="10" t="n">
        <v>0</v>
      </c>
      <c r="R45" s="11">
        <f>N45+O45+P45+Q45*'Правила и допущения'!$B$3</f>
        <v/>
      </c>
      <c r="S45" s="7" t="inlineStr">
        <is>
          <t>6 ч 45 мин</t>
        </is>
      </c>
      <c r="T45" s="10" t="inlineStr">
        <is>
          <t>4 ч 00 мин</t>
        </is>
      </c>
      <c r="U45" s="5" t="inlineStr">
        <is>
          <t>Удобный — своя машина</t>
        </is>
      </c>
    </row>
    <row r="46">
      <c r="A46" s="5" t="n">
        <v>42</v>
      </c>
      <c r="B46" s="5" t="inlineStr">
        <is>
          <t>Мордвинов Сергей Анатольевич</t>
        </is>
      </c>
      <c r="C46" s="5" t="inlineStr">
        <is>
          <t>уточнить</t>
        </is>
      </c>
      <c r="D46" s="5" t="inlineStr">
        <is>
          <t>Москва</t>
        </is>
      </c>
      <c r="E46" s="5" t="inlineStr">
        <is>
          <t>Электричка / авто</t>
        </is>
      </c>
      <c r="F46" s="6" t="n">
        <v>490</v>
      </c>
      <c r="G46" s="6" t="n">
        <v>490</v>
      </c>
      <c r="H46" s="6" t="n">
        <v>490</v>
      </c>
      <c r="I46" s="6" t="n">
        <v>490</v>
      </c>
      <c r="J46" s="6" t="n">
        <v>800</v>
      </c>
      <c r="K46" s="7" t="n">
        <v>0</v>
      </c>
      <c r="L46" s="8">
        <f>F46+H46+J46+K46*'Правила и допущения'!$B$3</f>
        <v/>
      </c>
      <c r="M46" s="8">
        <f>G46+I46+J46+K46*'Правила и допущения'!$B$3</f>
        <v/>
      </c>
      <c r="N46" s="9" t="n">
        <v>750</v>
      </c>
      <c r="O46" s="9" t="n">
        <v>750</v>
      </c>
      <c r="P46" s="9" t="n">
        <v>0</v>
      </c>
      <c r="Q46" s="10" t="n">
        <v>0</v>
      </c>
      <c r="R46" s="11">
        <f>N46+O46+P46+Q46*'Правила и допущения'!$B$3</f>
        <v/>
      </c>
      <c r="S46" s="7" t="inlineStr">
        <is>
          <t>6 ч 45 мин</t>
        </is>
      </c>
      <c r="T46" s="10" t="inlineStr">
        <is>
          <t>4 ч 00 мин</t>
        </is>
      </c>
      <c r="U46" s="5" t="inlineStr">
        <is>
          <t>Удобный — своя машина</t>
        </is>
      </c>
    </row>
    <row r="47">
      <c r="A47" s="5" t="n">
        <v>43</v>
      </c>
      <c r="B47" s="5" t="inlineStr">
        <is>
          <t>Бабкин Виктор Александрович</t>
        </is>
      </c>
      <c r="C47" s="5" t="inlineStr">
        <is>
          <t>уточнить</t>
        </is>
      </c>
      <c r="D47" s="5" t="inlineStr">
        <is>
          <t>Нижний Новгород</t>
        </is>
      </c>
      <c r="E47" s="5" t="inlineStr">
        <is>
          <t>Авто</t>
        </is>
      </c>
      <c r="F47" s="6">
        <f>'Авто'!J8/2</f>
        <v/>
      </c>
      <c r="G47" s="6">
        <f>'Авто'!J8/2</f>
        <v/>
      </c>
      <c r="H47" s="6">
        <f>'Авто'!J8/2</f>
        <v/>
      </c>
      <c r="I47" s="6">
        <f>'Авто'!J8/2</f>
        <v/>
      </c>
      <c r="J47" s="6" t="n">
        <v>0</v>
      </c>
      <c r="K47" s="7" t="n">
        <v>0</v>
      </c>
      <c r="L47" s="8">
        <f>F47+H47+J47+K47*'Правила и допущения'!$B$3</f>
        <v/>
      </c>
      <c r="M47" s="8">
        <f>G47+I47+J47+K47*'Правила и допущения'!$B$3</f>
        <v/>
      </c>
      <c r="N47" s="9">
        <f>'Авто'!J8/2</f>
        <v/>
      </c>
      <c r="O47" s="9">
        <f>'Авто'!J8/2</f>
        <v/>
      </c>
      <c r="P47" s="9" t="n">
        <v>0</v>
      </c>
      <c r="Q47" s="10" t="n">
        <v>1</v>
      </c>
      <c r="R47" s="11">
        <f>N47+O47+P47+Q47*'Правила и допущения'!$B$3</f>
        <v/>
      </c>
      <c r="S47" s="7" t="inlineStr">
        <is>
          <t>12 ч 00 мин</t>
        </is>
      </c>
      <c r="T47" s="10" t="inlineStr">
        <is>
          <t>12 ч 00 мин</t>
        </is>
      </c>
      <c r="U47" s="5" t="inlineStr">
        <is>
          <t>Экипаж: Н. Новгород + Владимир (3 чел.). Удобный = обратно 31.10 утром + ночь</t>
        </is>
      </c>
    </row>
    <row r="48">
      <c r="A48" s="5" t="n">
        <v>44</v>
      </c>
      <c r="B48" s="5" t="inlineStr">
        <is>
          <t>Полин Денис Валериевич</t>
        </is>
      </c>
      <c r="C48" s="5" t="inlineStr">
        <is>
          <t>уточнить</t>
        </is>
      </c>
      <c r="D48" s="5" t="inlineStr">
        <is>
          <t>Рязань</t>
        </is>
      </c>
      <c r="E48" s="5" t="inlineStr">
        <is>
          <t>Электричка / авто</t>
        </is>
      </c>
      <c r="F48" s="6" t="n">
        <v>306</v>
      </c>
      <c r="G48" s="6" t="n">
        <v>306</v>
      </c>
      <c r="H48" s="6" t="n">
        <v>306</v>
      </c>
      <c r="I48" s="6" t="n">
        <v>306</v>
      </c>
      <c r="J48" s="6" t="n">
        <v>600</v>
      </c>
      <c r="K48" s="7" t="n">
        <v>0</v>
      </c>
      <c r="L48" s="8">
        <f>F48+H48+J48+K48*'Правила и допущения'!$B$3</f>
        <v/>
      </c>
      <c r="M48" s="8">
        <f>G48+I48+J48+K48*'Правила и допущения'!$B$3</f>
        <v/>
      </c>
      <c r="N48" s="9" t="n">
        <v>650</v>
      </c>
      <c r="O48" s="9" t="n">
        <v>650</v>
      </c>
      <c r="P48" s="9" t="n">
        <v>0</v>
      </c>
      <c r="Q48" s="10" t="n">
        <v>0</v>
      </c>
      <c r="R48" s="11">
        <f>N48+O48+P48+Q48*'Правила и допущения'!$B$3</f>
        <v/>
      </c>
      <c r="S48" s="7" t="inlineStr">
        <is>
          <t>5 ч 00 мин</t>
        </is>
      </c>
      <c r="T48" s="10" t="inlineStr">
        <is>
          <t>3 ч 00 мин</t>
        </is>
      </c>
      <c r="U48" s="5" t="inlineStr">
        <is>
          <t>Удобный — своя машина (~100 км)</t>
        </is>
      </c>
    </row>
    <row r="49">
      <c r="A49" s="5" t="n">
        <v>45</v>
      </c>
      <c r="B49" s="5" t="inlineStr">
        <is>
          <t>Летягина Евгения Андреевна</t>
        </is>
      </c>
      <c r="C49" s="5" t="inlineStr">
        <is>
          <t>СПб (юг)</t>
        </is>
      </c>
      <c r="D49" s="5" t="inlineStr">
        <is>
          <t>Санкт-Петербург</t>
        </is>
      </c>
      <c r="E49" s="5" t="inlineStr">
        <is>
          <t>Поезд</t>
        </is>
      </c>
      <c r="F49" s="6" t="n">
        <v>1121</v>
      </c>
      <c r="G49" s="6" t="n">
        <v>1121</v>
      </c>
      <c r="H49" s="6" t="n">
        <v>2185</v>
      </c>
      <c r="I49" s="6" t="n">
        <v>2185</v>
      </c>
      <c r="J49" s="6" t="n">
        <v>1800</v>
      </c>
      <c r="K49" s="7" t="n">
        <v>0</v>
      </c>
      <c r="L49" s="8">
        <f>F49+H49+J49+K49*'Правила и допущения'!$B$3</f>
        <v/>
      </c>
      <c r="M49" s="8">
        <f>G49+I49+J49+K49*'Правила и допущения'!$B$3</f>
        <v/>
      </c>
      <c r="N49" s="9" t="n">
        <v>4424</v>
      </c>
      <c r="O49" s="9" t="n">
        <v>2130</v>
      </c>
      <c r="P49" s="9" t="n">
        <v>1800</v>
      </c>
      <c r="Q49" s="10" t="n">
        <v>1</v>
      </c>
      <c r="R49" s="11">
        <f>N49+O49+P49+Q49*'Правила и допущения'!$B$3</f>
        <v/>
      </c>
      <c r="S49" s="7" t="inlineStr">
        <is>
          <t>22 ч 10 мин</t>
        </is>
      </c>
      <c r="T49" s="10" t="inlineStr">
        <is>
          <t>16 ч 55 мин</t>
        </is>
      </c>
      <c r="U49" s="5" t="inlineStr">
        <is>
          <t>Удобный: Сапсан туда, Аврора днём обратно</t>
        </is>
      </c>
    </row>
    <row r="50">
      <c r="A50" s="5" t="n">
        <v>46</v>
      </c>
      <c r="B50" s="5" t="inlineStr">
        <is>
          <t>Понамарёв Василий Васильевич</t>
        </is>
      </c>
      <c r="C50" s="5" t="inlineStr">
        <is>
          <t>Смоленск, В.Луки</t>
        </is>
      </c>
      <c r="D50" s="5" t="inlineStr">
        <is>
          <t>Смоленск</t>
        </is>
      </c>
      <c r="E50" s="5" t="inlineStr">
        <is>
          <t>Поезд</t>
        </is>
      </c>
      <c r="F50" s="6" t="n">
        <v>1832</v>
      </c>
      <c r="G50" s="6" t="n">
        <v>1832</v>
      </c>
      <c r="H50" s="6" t="n">
        <v>4022</v>
      </c>
      <c r="I50" s="6" t="n">
        <v>4022</v>
      </c>
      <c r="J50" s="6" t="n">
        <v>1800</v>
      </c>
      <c r="K50" s="7" t="n">
        <v>0</v>
      </c>
      <c r="L50" s="8">
        <f>F50+H50+J50+K50*'Правила и допущения'!$B$3</f>
        <v/>
      </c>
      <c r="M50" s="8">
        <f>G50+I50+J50+K50*'Правила и допущения'!$B$3</f>
        <v/>
      </c>
      <c r="N50" s="9" t="n">
        <v>1832</v>
      </c>
      <c r="O50" s="9" t="n">
        <v>2595</v>
      </c>
      <c r="P50" s="9" t="n">
        <v>1800</v>
      </c>
      <c r="Q50" s="10" t="n">
        <v>1</v>
      </c>
      <c r="R50" s="11">
        <f>N50+O50+P50+Q50*'Правила и допущения'!$B$3</f>
        <v/>
      </c>
      <c r="S50" s="7" t="inlineStr">
        <is>
          <t>19 ч 55 мин</t>
        </is>
      </c>
      <c r="T50" s="10" t="inlineStr">
        <is>
          <t>16 ч 50 мин</t>
        </is>
      </c>
      <c r="U50" s="5" t="inlineStr">
        <is>
          <t>Ласточка туда; удобный обратно — Ласточка днём 31.10</t>
        </is>
      </c>
    </row>
    <row r="51">
      <c r="A51" s="5" t="n">
        <v>47</v>
      </c>
      <c r="B51" s="5" t="inlineStr">
        <is>
          <t>Пирогов Игорь Владимирович</t>
        </is>
      </c>
      <c r="C51" s="5" t="inlineStr">
        <is>
          <t>уточнить</t>
        </is>
      </c>
      <c r="D51" s="5" t="inlineStr">
        <is>
          <t>Тверь</t>
        </is>
      </c>
      <c r="E51" s="5" t="inlineStr">
        <is>
          <t>Поезд / авто</t>
        </is>
      </c>
      <c r="F51" s="6" t="n">
        <v>695</v>
      </c>
      <c r="G51" s="6" t="n">
        <v>695</v>
      </c>
      <c r="H51" s="6" t="n">
        <v>1000</v>
      </c>
      <c r="I51" s="6" t="n">
        <v>1000</v>
      </c>
      <c r="J51" s="6" t="n">
        <v>1800</v>
      </c>
      <c r="K51" s="7" t="n">
        <v>0</v>
      </c>
      <c r="L51" s="8">
        <f>F51+H51+J51+K51*'Правила и допущения'!$B$3</f>
        <v/>
      </c>
      <c r="M51" s="8">
        <f>G51+I51+J51+K51*'Правила и допущения'!$B$3</f>
        <v/>
      </c>
      <c r="N51" s="9" t="n">
        <v>1885</v>
      </c>
      <c r="O51" s="9" t="n">
        <v>1885</v>
      </c>
      <c r="P51" s="9" t="n">
        <v>0</v>
      </c>
      <c r="Q51" s="10" t="n">
        <v>0</v>
      </c>
      <c r="R51" s="11">
        <f>N51+O51+P51+Q51*'Правила и допущения'!$B$3</f>
        <v/>
      </c>
      <c r="S51" s="7" t="inlineStr">
        <is>
          <t>12 ч 35 мин</t>
        </is>
      </c>
      <c r="T51" s="10" t="inlineStr">
        <is>
          <t>8 ч 00 мин</t>
        </is>
      </c>
      <c r="U51" s="5" t="inlineStr">
        <is>
          <t>Удобный — своя машина</t>
        </is>
      </c>
    </row>
    <row r="52">
      <c r="A52" s="5" t="n">
        <v>48</v>
      </c>
      <c r="B52" s="5" t="inlineStr">
        <is>
          <t>Смирнов Игорь Алексеевич</t>
        </is>
      </c>
      <c r="C52" s="5" t="inlineStr">
        <is>
          <t>Собственник</t>
        </is>
      </c>
      <c r="D52" s="5" t="inlineStr">
        <is>
          <t>Екатеринбург</t>
        </is>
      </c>
      <c r="E52" s="5" t="inlineStr">
        <is>
          <t>Самолёт</t>
        </is>
      </c>
      <c r="F52" s="6" t="n">
        <v>7811</v>
      </c>
      <c r="G52" s="6" t="n">
        <v>10789</v>
      </c>
      <c r="H52" s="6" t="n">
        <v>9104</v>
      </c>
      <c r="I52" s="6" t="n">
        <v>12205</v>
      </c>
      <c r="J52" s="6" t="n">
        <v>2000</v>
      </c>
      <c r="K52" s="7" t="n">
        <v>0</v>
      </c>
      <c r="L52" s="8">
        <f>F52+H52+J52+K52*'Правила и допущения'!$B$3</f>
        <v/>
      </c>
      <c r="M52" s="8">
        <f>G52+I52+J52+K52*'Правила и допущения'!$B$3</f>
        <v/>
      </c>
      <c r="N52" s="9" t="n">
        <v>11932</v>
      </c>
      <c r="O52" s="9" t="n">
        <v>15996</v>
      </c>
      <c r="P52" s="9" t="n">
        <v>2400</v>
      </c>
      <c r="Q52" s="10" t="n">
        <v>1</v>
      </c>
      <c r="R52" s="11">
        <f>N52+O52+P52+Q52*'Правила и допущения'!$B$3</f>
        <v/>
      </c>
      <c r="S52" s="7" t="inlineStr">
        <is>
          <t>17 ч 45 мин</t>
        </is>
      </c>
      <c r="T52" s="10" t="inlineStr">
        <is>
          <t>15 ч 50 мин</t>
        </is>
      </c>
      <c r="U52" s="5" t="inlineStr">
        <is>
          <t>Едет вместе с дочерью (Смирнова Ю.И.). 9 чел. одним рейсом (обычные билеты, без групповых скидок); минивэны</t>
        </is>
      </c>
    </row>
    <row r="53">
      <c r="A53" s="5" t="n">
        <v>49</v>
      </c>
      <c r="B53" s="5" t="inlineStr">
        <is>
          <t>Догодаева Екатерина Николаевна</t>
        </is>
      </c>
      <c r="C53" s="5" t="inlineStr">
        <is>
          <t>уточнить</t>
        </is>
      </c>
      <c r="D53" s="5" t="inlineStr">
        <is>
          <t>Екатеринбург</t>
        </is>
      </c>
      <c r="E53" s="5" t="inlineStr">
        <is>
          <t>Самолёт</t>
        </is>
      </c>
      <c r="F53" s="6" t="n">
        <v>7811</v>
      </c>
      <c r="G53" s="6" t="n">
        <v>10789</v>
      </c>
      <c r="H53" s="6" t="n">
        <v>9104</v>
      </c>
      <c r="I53" s="6" t="n">
        <v>12205</v>
      </c>
      <c r="J53" s="6" t="n">
        <v>2000</v>
      </c>
      <c r="K53" s="7" t="n">
        <v>0</v>
      </c>
      <c r="L53" s="8">
        <f>F53+H53+J53+K53*'Правила и допущения'!$B$3</f>
        <v/>
      </c>
      <c r="M53" s="8">
        <f>G53+I53+J53+K53*'Правила и допущения'!$B$3</f>
        <v/>
      </c>
      <c r="N53" s="9" t="n">
        <v>11932</v>
      </c>
      <c r="O53" s="9" t="n">
        <v>15996</v>
      </c>
      <c r="P53" s="9" t="n">
        <v>2400</v>
      </c>
      <c r="Q53" s="10" t="n">
        <v>1</v>
      </c>
      <c r="R53" s="11">
        <f>N53+O53+P53+Q53*'Правила и допущения'!$B$3</f>
        <v/>
      </c>
      <c r="S53" s="7" t="inlineStr">
        <is>
          <t>17 ч 45 мин</t>
        </is>
      </c>
      <c r="T53" s="10" t="inlineStr">
        <is>
          <t>15 ч 50 мин</t>
        </is>
      </c>
      <c r="U53" s="5" t="inlineStr">
        <is>
          <t>9 чел. одним рейсом (обычные билеты, без групповых скидок); минивэны</t>
        </is>
      </c>
    </row>
    <row r="54">
      <c r="A54" s="5" t="n">
        <v>50</v>
      </c>
      <c r="B54" s="5" t="inlineStr">
        <is>
          <t>Дудник Светлана Васильевна</t>
        </is>
      </c>
      <c r="C54" s="5" t="inlineStr">
        <is>
          <t>уточнить</t>
        </is>
      </c>
      <c r="D54" s="5" t="inlineStr">
        <is>
          <t>Екатеринбург</t>
        </is>
      </c>
      <c r="E54" s="5" t="inlineStr">
        <is>
          <t>Самолёт</t>
        </is>
      </c>
      <c r="F54" s="6" t="n">
        <v>7811</v>
      </c>
      <c r="G54" s="6" t="n">
        <v>10789</v>
      </c>
      <c r="H54" s="6" t="n">
        <v>9104</v>
      </c>
      <c r="I54" s="6" t="n">
        <v>12205</v>
      </c>
      <c r="J54" s="6" t="n">
        <v>2000</v>
      </c>
      <c r="K54" s="7" t="n">
        <v>0</v>
      </c>
      <c r="L54" s="8">
        <f>F54+H54+J54+K54*'Правила и допущения'!$B$3</f>
        <v/>
      </c>
      <c r="M54" s="8">
        <f>G54+I54+J54+K54*'Правила и допущения'!$B$3</f>
        <v/>
      </c>
      <c r="N54" s="9" t="n">
        <v>11932</v>
      </c>
      <c r="O54" s="9" t="n">
        <v>15996</v>
      </c>
      <c r="P54" s="9" t="n">
        <v>2400</v>
      </c>
      <c r="Q54" s="10" t="n">
        <v>1</v>
      </c>
      <c r="R54" s="11">
        <f>N54+O54+P54+Q54*'Правила и допущения'!$B$3</f>
        <v/>
      </c>
      <c r="S54" s="7" t="inlineStr">
        <is>
          <t>17 ч 45 мин</t>
        </is>
      </c>
      <c r="T54" s="10" t="inlineStr">
        <is>
          <t>15 ч 50 мин</t>
        </is>
      </c>
      <c r="U54" s="5" t="inlineStr">
        <is>
          <t>9 чел. одним рейсом (обычные билеты, без групповых скидок); минивэны</t>
        </is>
      </c>
    </row>
    <row r="55">
      <c r="A55" s="5" t="n">
        <v>51</v>
      </c>
      <c r="B55" s="5" t="inlineStr">
        <is>
          <t>Девлешова Татьяна Владимировна</t>
        </is>
      </c>
      <c r="C55" s="5" t="inlineStr">
        <is>
          <t>уточнить</t>
        </is>
      </c>
      <c r="D55" s="5" t="inlineStr">
        <is>
          <t>Екатеринбург</t>
        </is>
      </c>
      <c r="E55" s="5" t="inlineStr">
        <is>
          <t>Самолёт</t>
        </is>
      </c>
      <c r="F55" s="6" t="n">
        <v>7811</v>
      </c>
      <c r="G55" s="6" t="n">
        <v>10789</v>
      </c>
      <c r="H55" s="6" t="n">
        <v>9104</v>
      </c>
      <c r="I55" s="6" t="n">
        <v>12205</v>
      </c>
      <c r="J55" s="6" t="n">
        <v>2000</v>
      </c>
      <c r="K55" s="7" t="n">
        <v>0</v>
      </c>
      <c r="L55" s="8">
        <f>F55+H55+J55+K55*'Правила и допущения'!$B$3</f>
        <v/>
      </c>
      <c r="M55" s="8">
        <f>G55+I55+J55+K55*'Правила и допущения'!$B$3</f>
        <v/>
      </c>
      <c r="N55" s="9" t="n">
        <v>11932</v>
      </c>
      <c r="O55" s="9" t="n">
        <v>15996</v>
      </c>
      <c r="P55" s="9" t="n">
        <v>2400</v>
      </c>
      <c r="Q55" s="10" t="n">
        <v>1</v>
      </c>
      <c r="R55" s="11">
        <f>N55+O55+P55+Q55*'Правила и допущения'!$B$3</f>
        <v/>
      </c>
      <c r="S55" s="7" t="inlineStr">
        <is>
          <t>17 ч 45 мин</t>
        </is>
      </c>
      <c r="T55" s="10" t="inlineStr">
        <is>
          <t>15 ч 50 мин</t>
        </is>
      </c>
      <c r="U55" s="5" t="inlineStr">
        <is>
          <t>9 чел. одним рейсом (обычные билеты, без групповых скидок); минивэны</t>
        </is>
      </c>
    </row>
    <row r="56">
      <c r="A56" s="5" t="n">
        <v>52</v>
      </c>
      <c r="B56" s="5" t="inlineStr">
        <is>
          <t>Володина Людмила Эдуардовна</t>
        </is>
      </c>
      <c r="C56" s="5" t="inlineStr">
        <is>
          <t>уточнить</t>
        </is>
      </c>
      <c r="D56" s="5" t="inlineStr">
        <is>
          <t>Екатеринбург</t>
        </is>
      </c>
      <c r="E56" s="5" t="inlineStr">
        <is>
          <t>Самолёт</t>
        </is>
      </c>
      <c r="F56" s="6" t="n">
        <v>7811</v>
      </c>
      <c r="G56" s="6" t="n">
        <v>10789</v>
      </c>
      <c r="H56" s="6" t="n">
        <v>9104</v>
      </c>
      <c r="I56" s="6" t="n">
        <v>12205</v>
      </c>
      <c r="J56" s="6" t="n">
        <v>2000</v>
      </c>
      <c r="K56" s="7" t="n">
        <v>0</v>
      </c>
      <c r="L56" s="8">
        <f>F56+H56+J56+K56*'Правила и допущения'!$B$3</f>
        <v/>
      </c>
      <c r="M56" s="8">
        <f>G56+I56+J56+K56*'Правила и допущения'!$B$3</f>
        <v/>
      </c>
      <c r="N56" s="9" t="n">
        <v>11932</v>
      </c>
      <c r="O56" s="9" t="n">
        <v>15996</v>
      </c>
      <c r="P56" s="9" t="n">
        <v>2400</v>
      </c>
      <c r="Q56" s="10" t="n">
        <v>1</v>
      </c>
      <c r="R56" s="11">
        <f>N56+O56+P56+Q56*'Правила и допущения'!$B$3</f>
        <v/>
      </c>
      <c r="S56" s="7" t="inlineStr">
        <is>
          <t>17 ч 45 мин</t>
        </is>
      </c>
      <c r="T56" s="10" t="inlineStr">
        <is>
          <t>15 ч 50 мин</t>
        </is>
      </c>
      <c r="U56" s="5" t="inlineStr">
        <is>
          <t>9 чел. одним рейсом (обычные билеты, без групповых скидок); минивэны</t>
        </is>
      </c>
    </row>
    <row r="57">
      <c r="A57" s="5" t="n">
        <v>53</v>
      </c>
      <c r="B57" s="5" t="inlineStr">
        <is>
          <t>Шакирзянова Надежда Александровна</t>
        </is>
      </c>
      <c r="C57" s="5" t="inlineStr">
        <is>
          <t>уточнить</t>
        </is>
      </c>
      <c r="D57" s="5" t="inlineStr">
        <is>
          <t>Екатеринбург</t>
        </is>
      </c>
      <c r="E57" s="5" t="inlineStr">
        <is>
          <t>Самолёт</t>
        </is>
      </c>
      <c r="F57" s="6" t="n">
        <v>7811</v>
      </c>
      <c r="G57" s="6" t="n">
        <v>10789</v>
      </c>
      <c r="H57" s="6" t="n">
        <v>9104</v>
      </c>
      <c r="I57" s="6" t="n">
        <v>12205</v>
      </c>
      <c r="J57" s="6" t="n">
        <v>2000</v>
      </c>
      <c r="K57" s="7" t="n">
        <v>0</v>
      </c>
      <c r="L57" s="8">
        <f>F57+H57+J57+K57*'Правила и допущения'!$B$3</f>
        <v/>
      </c>
      <c r="M57" s="8">
        <f>G57+I57+J57+K57*'Правила и допущения'!$B$3</f>
        <v/>
      </c>
      <c r="N57" s="9" t="n">
        <v>11932</v>
      </c>
      <c r="O57" s="9" t="n">
        <v>15996</v>
      </c>
      <c r="P57" s="9" t="n">
        <v>2400</v>
      </c>
      <c r="Q57" s="10" t="n">
        <v>1</v>
      </c>
      <c r="R57" s="11">
        <f>N57+O57+P57+Q57*'Правила и допущения'!$B$3</f>
        <v/>
      </c>
      <c r="S57" s="7" t="inlineStr">
        <is>
          <t>17 ч 45 мин</t>
        </is>
      </c>
      <c r="T57" s="10" t="inlineStr">
        <is>
          <t>15 ч 50 мин</t>
        </is>
      </c>
      <c r="U57" s="5" t="inlineStr">
        <is>
          <t>9 чел. одним рейсом (обычные билеты, без групповых скидок); минивэны</t>
        </is>
      </c>
    </row>
    <row r="58">
      <c r="A58" s="5" t="n">
        <v>54</v>
      </c>
      <c r="B58" s="5" t="inlineStr">
        <is>
          <t>Смирнова Юлия Игоревна</t>
        </is>
      </c>
      <c r="C58" s="5" t="inlineStr">
        <is>
          <t>уточнить</t>
        </is>
      </c>
      <c r="D58" s="5" t="inlineStr">
        <is>
          <t>Екатеринбург</t>
        </is>
      </c>
      <c r="E58" s="5" t="inlineStr">
        <is>
          <t>Самолёт</t>
        </is>
      </c>
      <c r="F58" s="6" t="n">
        <v>7811</v>
      </c>
      <c r="G58" s="6" t="n">
        <v>10789</v>
      </c>
      <c r="H58" s="6" t="n">
        <v>9104</v>
      </c>
      <c r="I58" s="6" t="n">
        <v>12205</v>
      </c>
      <c r="J58" s="6" t="n">
        <v>2000</v>
      </c>
      <c r="K58" s="7" t="n">
        <v>0</v>
      </c>
      <c r="L58" s="8">
        <f>F58+H58+J58+K58*'Правила и допущения'!$B$3</f>
        <v/>
      </c>
      <c r="M58" s="8">
        <f>G58+I58+J58+K58*'Правила и допущения'!$B$3</f>
        <v/>
      </c>
      <c r="N58" s="9" t="n">
        <v>11932</v>
      </c>
      <c r="O58" s="9" t="n">
        <v>15996</v>
      </c>
      <c r="P58" s="9" t="n">
        <v>2400</v>
      </c>
      <c r="Q58" s="10" t="n">
        <v>1</v>
      </c>
      <c r="R58" s="11">
        <f>N58+O58+P58+Q58*'Правила и допущения'!$B$3</f>
        <v/>
      </c>
      <c r="S58" s="7" t="inlineStr">
        <is>
          <t>17 ч 45 мин</t>
        </is>
      </c>
      <c r="T58" s="10" t="inlineStr">
        <is>
          <t>15 ч 50 мин</t>
        </is>
      </c>
      <c r="U58" s="5" t="inlineStr">
        <is>
          <t>Едет вместе с отцом (Смирнов И.А.). 9 чел. одним рейсом (обычные билеты, без групповых скидок); минивэны</t>
        </is>
      </c>
    </row>
    <row r="59">
      <c r="A59" s="5" t="n">
        <v>55</v>
      </c>
      <c r="B59" s="5" t="inlineStr">
        <is>
          <t>Микушин Евгений Геннадьевич</t>
        </is>
      </c>
      <c r="C59" s="5" t="inlineStr">
        <is>
          <t>уточнить</t>
        </is>
      </c>
      <c r="D59" s="5" t="inlineStr">
        <is>
          <t>Екатеринбург</t>
        </is>
      </c>
      <c r="E59" s="5" t="inlineStr">
        <is>
          <t>Самолёт</t>
        </is>
      </c>
      <c r="F59" s="6" t="n">
        <v>7811</v>
      </c>
      <c r="G59" s="6" t="n">
        <v>10789</v>
      </c>
      <c r="H59" s="6" t="n">
        <v>9104</v>
      </c>
      <c r="I59" s="6" t="n">
        <v>12205</v>
      </c>
      <c r="J59" s="6" t="n">
        <v>2000</v>
      </c>
      <c r="K59" s="7" t="n">
        <v>0</v>
      </c>
      <c r="L59" s="8">
        <f>F59+H59+J59+K59*'Правила и допущения'!$B$3</f>
        <v/>
      </c>
      <c r="M59" s="8">
        <f>G59+I59+J59+K59*'Правила и допущения'!$B$3</f>
        <v/>
      </c>
      <c r="N59" s="9" t="n">
        <v>11932</v>
      </c>
      <c r="O59" s="9" t="n">
        <v>15996</v>
      </c>
      <c r="P59" s="9" t="n">
        <v>2400</v>
      </c>
      <c r="Q59" s="10" t="n">
        <v>1</v>
      </c>
      <c r="R59" s="11">
        <f>N59+O59+P59+Q59*'Правила и допущения'!$B$3</f>
        <v/>
      </c>
      <c r="S59" s="7" t="inlineStr">
        <is>
          <t>17 ч 45 мин</t>
        </is>
      </c>
      <c r="T59" s="10" t="inlineStr">
        <is>
          <t>15 ч 50 мин</t>
        </is>
      </c>
      <c r="U59" s="5" t="inlineStr">
        <is>
          <t>9 чел. одним рейсом (обычные билеты, без групповых скидок); минивэны</t>
        </is>
      </c>
    </row>
    <row r="60">
      <c r="A60" s="5" t="n">
        <v>56</v>
      </c>
      <c r="B60" s="5" t="inlineStr">
        <is>
          <t>Устюгов Дмитрий Николаевич</t>
        </is>
      </c>
      <c r="C60" s="5" t="inlineStr">
        <is>
          <t>уточнить</t>
        </is>
      </c>
      <c r="D60" s="5" t="inlineStr">
        <is>
          <t>Екатеринбург</t>
        </is>
      </c>
      <c r="E60" s="5" t="inlineStr">
        <is>
          <t>Самолёт</t>
        </is>
      </c>
      <c r="F60" s="6" t="n">
        <v>7811</v>
      </c>
      <c r="G60" s="6" t="n">
        <v>10789</v>
      </c>
      <c r="H60" s="6" t="n">
        <v>9104</v>
      </c>
      <c r="I60" s="6" t="n">
        <v>12205</v>
      </c>
      <c r="J60" s="6" t="n">
        <v>2000</v>
      </c>
      <c r="K60" s="7" t="n">
        <v>0</v>
      </c>
      <c r="L60" s="8">
        <f>F60+H60+J60+K60*'Правила и допущения'!$B$3</f>
        <v/>
      </c>
      <c r="M60" s="8">
        <f>G60+I60+J60+K60*'Правила и допущения'!$B$3</f>
        <v/>
      </c>
      <c r="N60" s="9" t="n">
        <v>11932</v>
      </c>
      <c r="O60" s="9" t="n">
        <v>15996</v>
      </c>
      <c r="P60" s="9" t="n">
        <v>2400</v>
      </c>
      <c r="Q60" s="10" t="n">
        <v>1</v>
      </c>
      <c r="R60" s="11">
        <f>N60+O60+P60+Q60*'Правила и допущения'!$B$3</f>
        <v/>
      </c>
      <c r="S60" s="7" t="inlineStr">
        <is>
          <t>17 ч 45 мин</t>
        </is>
      </c>
      <c r="T60" s="10" t="inlineStr">
        <is>
          <t>15 ч 50 мин</t>
        </is>
      </c>
      <c r="U60" s="5" t="inlineStr">
        <is>
          <t>9 чел. одним рейсом (обычные билеты, без групповых скидок); минивэны</t>
        </is>
      </c>
    </row>
    <row r="61">
      <c r="A61" s="5" t="n">
        <v>57</v>
      </c>
      <c r="B61" s="5" t="inlineStr">
        <is>
          <t>Мелентьев Евгений</t>
        </is>
      </c>
      <c r="C61" s="5" t="inlineStr">
        <is>
          <t>уточнить</t>
        </is>
      </c>
      <c r="D61" s="5" t="inlineStr">
        <is>
          <t>Магнитогорск</t>
        </is>
      </c>
      <c r="E61" s="5" t="inlineStr">
        <is>
          <t>Самолёт</t>
        </is>
      </c>
      <c r="F61" s="6" t="n">
        <v>12962</v>
      </c>
      <c r="G61" s="6" t="n">
        <v>16375</v>
      </c>
      <c r="H61" s="6" t="n">
        <v>16417</v>
      </c>
      <c r="I61" s="6" t="n">
        <v>20134</v>
      </c>
      <c r="J61" s="6" t="n">
        <v>2400</v>
      </c>
      <c r="K61" s="7" t="n">
        <v>0</v>
      </c>
      <c r="L61" s="8">
        <f>F61+H61+J61+K61*'Правила и допущения'!$B$3</f>
        <v/>
      </c>
      <c r="M61" s="8">
        <f>G61+I61+J61+K61*'Правила и допущения'!$B$3</f>
        <v/>
      </c>
      <c r="N61" s="9" t="n">
        <v>16375</v>
      </c>
      <c r="O61" s="9" t="n">
        <v>16966</v>
      </c>
      <c r="P61" s="9" t="n">
        <v>7500</v>
      </c>
      <c r="Q61" s="10" t="n">
        <v>1</v>
      </c>
      <c r="R61" s="11">
        <f>N61+O61+P61+Q61*'Правила и допущения'!$B$3</f>
        <v/>
      </c>
      <c r="S61" s="7" t="inlineStr">
        <is>
          <t>18 ч 35 мин</t>
        </is>
      </c>
      <c r="T61" s="10" t="inlineStr">
        <is>
          <t>21 ч 00 мин</t>
        </is>
      </c>
      <c r="U61" s="5" t="inlineStr">
        <is>
          <t>Обратно удобный: самолёт до Челябинска + автобус (прямые — только 00:40 и 07:40)</t>
        </is>
      </c>
    </row>
    <row r="62">
      <c r="A62" s="5" t="n">
        <v>58</v>
      </c>
      <c r="B62" s="5" t="inlineStr">
        <is>
          <t>Фирстов Виктор Юрьевич</t>
        </is>
      </c>
      <c r="C62" s="5" t="inlineStr">
        <is>
          <t>Златоуст, Челябинск</t>
        </is>
      </c>
      <c r="D62" s="5" t="inlineStr">
        <is>
          <t>Челябинск</t>
        </is>
      </c>
      <c r="E62" s="5" t="inlineStr">
        <is>
          <t>Самолёт</t>
        </is>
      </c>
      <c r="F62" s="6" t="n">
        <v>6196</v>
      </c>
      <c r="G62" s="6" t="n">
        <v>8991</v>
      </c>
      <c r="H62" s="6" t="n">
        <v>7789</v>
      </c>
      <c r="I62" s="6" t="n">
        <v>10643</v>
      </c>
      <c r="J62" s="6" t="n">
        <v>1800</v>
      </c>
      <c r="K62" s="7" t="n">
        <v>0</v>
      </c>
      <c r="L62" s="8">
        <f>F62+H62+J62+K62*'Правила и допущения'!$B$3</f>
        <v/>
      </c>
      <c r="M62" s="8">
        <f>G62+I62+J62+K62*'Правила и допущения'!$B$3</f>
        <v/>
      </c>
      <c r="N62" s="9" t="n">
        <v>12939</v>
      </c>
      <c r="O62" s="9" t="n">
        <v>15466</v>
      </c>
      <c r="P62" s="9" t="n">
        <v>6500</v>
      </c>
      <c r="Q62" s="10" t="n">
        <v>1</v>
      </c>
      <c r="R62" s="11">
        <f>N62+O62+P62+Q62*'Правила и допущения'!$B$3</f>
        <v/>
      </c>
      <c r="S62" s="7" t="inlineStr">
        <is>
          <t>19 ч 00 мин</t>
        </is>
      </c>
      <c r="T62" s="10" t="inlineStr">
        <is>
          <t>18 ч 15 мин</t>
        </is>
      </c>
      <c r="U62" s="5" t="inlineStr"/>
    </row>
    <row r="63">
      <c r="A63" s="5" t="n">
        <v>59</v>
      </c>
      <c r="B63" s="5" t="inlineStr">
        <is>
          <t>Бобошин Сергей Аркадьевич</t>
        </is>
      </c>
      <c r="C63" s="5" t="inlineStr">
        <is>
          <t>Курган, Сургут, Тюмень</t>
        </is>
      </c>
      <c r="D63" s="5" t="inlineStr">
        <is>
          <t>Тюмень</t>
        </is>
      </c>
      <c r="E63" s="5" t="inlineStr">
        <is>
          <t>Самолёт</t>
        </is>
      </c>
      <c r="F63" s="6" t="n">
        <v>5873</v>
      </c>
      <c r="G63" s="6" t="n">
        <v>8712</v>
      </c>
      <c r="H63" s="6" t="n">
        <v>8168</v>
      </c>
      <c r="I63" s="6" t="n">
        <v>11154</v>
      </c>
      <c r="J63" s="6" t="n">
        <v>3000</v>
      </c>
      <c r="K63" s="7" t="n">
        <v>0</v>
      </c>
      <c r="L63" s="8">
        <f>F63+H63+J63+K63*'Правила и допущения'!$B$3</f>
        <v/>
      </c>
      <c r="M63" s="8">
        <f>G63+I63+J63+K63*'Правила и допущения'!$B$3</f>
        <v/>
      </c>
      <c r="N63" s="9" t="n">
        <v>10125</v>
      </c>
      <c r="O63" s="9" t="n">
        <v>10818</v>
      </c>
      <c r="P63" s="9" t="n">
        <v>9000</v>
      </c>
      <c r="Q63" s="10" t="n">
        <v>1</v>
      </c>
      <c r="R63" s="11">
        <f>N63+O63+P63+Q63*'Правила и допущения'!$B$3</f>
        <v/>
      </c>
      <c r="S63" s="7" t="inlineStr">
        <is>
          <t>18 ч 50 мин</t>
        </is>
      </c>
      <c r="T63" s="10" t="inlineStr">
        <is>
          <t>17 ч 10 мин</t>
        </is>
      </c>
      <c r="U63" s="5" t="inlineStr"/>
    </row>
    <row r="64">
      <c r="A64" s="5" t="n">
        <v>60</v>
      </c>
      <c r="B64" s="5" t="inlineStr">
        <is>
          <t>Федоров Константин Иванович</t>
        </is>
      </c>
      <c r="C64" s="5" t="inlineStr">
        <is>
          <t>уточнить</t>
        </is>
      </c>
      <c r="D64" s="5" t="inlineStr">
        <is>
          <t>Нижний Тагил</t>
        </is>
      </c>
      <c r="E64" s="5" t="inlineStr">
        <is>
          <t>Самолёт</t>
        </is>
      </c>
      <c r="F64" s="6" t="n">
        <v>7811</v>
      </c>
      <c r="G64" s="6" t="n">
        <v>10789</v>
      </c>
      <c r="H64" s="6" t="n">
        <v>9104</v>
      </c>
      <c r="I64" s="6" t="n">
        <v>12205</v>
      </c>
      <c r="J64" s="6" t="n">
        <v>4400</v>
      </c>
      <c r="K64" s="7" t="n">
        <v>0</v>
      </c>
      <c r="L64" s="8">
        <f>F64+H64+J64+K64*'Правила и допущения'!$B$3</f>
        <v/>
      </c>
      <c r="M64" s="8">
        <f>G64+I64+J64+K64*'Правила и допущения'!$B$3</f>
        <v/>
      </c>
      <c r="N64" s="9" t="n">
        <v>11932</v>
      </c>
      <c r="O64" s="9" t="n">
        <v>15996</v>
      </c>
      <c r="P64" s="9" t="n">
        <v>13400</v>
      </c>
      <c r="Q64" s="10" t="n">
        <v>1</v>
      </c>
      <c r="R64" s="11">
        <f>N64+O64+P64+Q64*'Правила и допущения'!$B$3</f>
        <v/>
      </c>
      <c r="S64" s="7" t="inlineStr">
        <is>
          <t>22 ч 45 мин</t>
        </is>
      </c>
      <c r="T64" s="10" t="inlineStr">
        <is>
          <t>20 ч 50 мин</t>
        </is>
      </c>
      <c r="U64" s="5" t="inlineStr">
        <is>
          <t>С группой Екатеринбурга; удобный — ночь в Екатеринбурге накануне (~3 000 ₽)</t>
        </is>
      </c>
    </row>
    <row r="65">
      <c r="A65" s="5" t="n">
        <v>61</v>
      </c>
      <c r="B65" s="5" t="inlineStr">
        <is>
          <t>Меднов Владимир Александрович</t>
        </is>
      </c>
      <c r="C65" s="5" t="inlineStr">
        <is>
          <t>Руководитель ЦР Нижний Новгород</t>
        </is>
      </c>
      <c r="D65" s="5" t="inlineStr">
        <is>
          <t>Нижний Новгород</t>
        </is>
      </c>
      <c r="E65" s="5" t="inlineStr">
        <is>
          <t>Авто</t>
        </is>
      </c>
      <c r="F65" s="6">
        <f>'Авто'!J8/2</f>
        <v/>
      </c>
      <c r="G65" s="6">
        <f>'Авто'!J8/2</f>
        <v/>
      </c>
      <c r="H65" s="6">
        <f>'Авто'!J8/2</f>
        <v/>
      </c>
      <c r="I65" s="6">
        <f>'Авто'!J8/2</f>
        <v/>
      </c>
      <c r="J65" s="6" t="n">
        <v>0</v>
      </c>
      <c r="K65" s="7" t="n">
        <v>0</v>
      </c>
      <c r="L65" s="8">
        <f>F65+H65+J65+K65*'Правила и допущения'!$B$3</f>
        <v/>
      </c>
      <c r="M65" s="8">
        <f>G65+I65+J65+K65*'Правила и допущения'!$B$3</f>
        <v/>
      </c>
      <c r="N65" s="9">
        <f>'Авто'!J8/2</f>
        <v/>
      </c>
      <c r="O65" s="9">
        <f>'Авто'!J8/2</f>
        <v/>
      </c>
      <c r="P65" s="9" t="n">
        <v>0</v>
      </c>
      <c r="Q65" s="10" t="n">
        <v>1</v>
      </c>
      <c r="R65" s="11">
        <f>N65+O65+P65+Q65*'Правила и допущения'!$B$3</f>
        <v/>
      </c>
      <c r="S65" s="7" t="inlineStr">
        <is>
          <t>12 ч 00 мин</t>
        </is>
      </c>
      <c r="T65" s="10" t="inlineStr">
        <is>
          <t>12 ч 00 мин</t>
        </is>
      </c>
      <c r="U65" s="5" t="inlineStr">
        <is>
          <t>Экипаж: Н. Новгород + Владимир (3 чел.). Удобный = обратно 31.10 утром + ночь</t>
        </is>
      </c>
    </row>
    <row r="66">
      <c r="A66" s="5" t="n">
        <v>62</v>
      </c>
      <c r="B66" s="5" t="inlineStr">
        <is>
          <t>Шабанов Роман Васильевич</t>
        </is>
      </c>
      <c r="C66" s="5" t="inlineStr">
        <is>
          <t>уточнить</t>
        </is>
      </c>
      <c r="D66" s="5" t="inlineStr">
        <is>
          <t>Владимир</t>
        </is>
      </c>
      <c r="E66" s="5" t="inlineStr">
        <is>
          <t>Авто</t>
        </is>
      </c>
      <c r="F66" s="6">
        <f>'Авто'!J8/2</f>
        <v/>
      </c>
      <c r="G66" s="6">
        <f>'Авто'!J8/2</f>
        <v/>
      </c>
      <c r="H66" s="6">
        <f>'Авто'!J8/2</f>
        <v/>
      </c>
      <c r="I66" s="6">
        <f>'Авто'!J8/2</f>
        <v/>
      </c>
      <c r="J66" s="6" t="n">
        <v>0</v>
      </c>
      <c r="K66" s="7" t="n">
        <v>0</v>
      </c>
      <c r="L66" s="8">
        <f>F66+H66+J66+K66*'Правила и допущения'!$B$3</f>
        <v/>
      </c>
      <c r="M66" s="8">
        <f>G66+I66+J66+K66*'Правила и допущения'!$B$3</f>
        <v/>
      </c>
      <c r="N66" s="9">
        <f>'Авто'!J8/2</f>
        <v/>
      </c>
      <c r="O66" s="9">
        <f>'Авто'!J8/2</f>
        <v/>
      </c>
      <c r="P66" s="9" t="n">
        <v>0</v>
      </c>
      <c r="Q66" s="10" t="n">
        <v>1</v>
      </c>
      <c r="R66" s="11">
        <f>N66+O66+P66+Q66*'Правила и допущения'!$B$3</f>
        <v/>
      </c>
      <c r="S66" s="7" t="inlineStr">
        <is>
          <t>7 ч 00 мин</t>
        </is>
      </c>
      <c r="T66" s="10" t="inlineStr">
        <is>
          <t>7 ч 00 мин</t>
        </is>
      </c>
      <c r="U66" s="5" t="inlineStr">
        <is>
          <t>Экипаж: Н. Новгород + Владимир (3 чел.). Удобный = обратно 31.10 утром + ночь</t>
        </is>
      </c>
    </row>
    <row r="67">
      <c r="A67" s="5" t="n">
        <v>63</v>
      </c>
      <c r="B67" s="5" t="inlineStr">
        <is>
          <t>Викторов Максим Сергеевич</t>
        </is>
      </c>
      <c r="C67" s="5" t="inlineStr">
        <is>
          <t>уточнить</t>
        </is>
      </c>
      <c r="D67" s="5" t="inlineStr">
        <is>
          <t>Ярославль</t>
        </is>
      </c>
      <c r="E67" s="5" t="inlineStr">
        <is>
          <t>Поезд</t>
        </is>
      </c>
      <c r="F67" s="6" t="n">
        <v>1106</v>
      </c>
      <c r="G67" s="6" t="n">
        <v>1106</v>
      </c>
      <c r="H67" s="6" t="n">
        <v>3058</v>
      </c>
      <c r="I67" s="6" t="n">
        <v>3058</v>
      </c>
      <c r="J67" s="6" t="n">
        <v>1800</v>
      </c>
      <c r="K67" s="7" t="n">
        <v>0</v>
      </c>
      <c r="L67" s="8">
        <f>F67+H67+J67+K67*'Правила и допущения'!$B$3</f>
        <v/>
      </c>
      <c r="M67" s="8">
        <f>G67+I67+J67+K67*'Правила и допущения'!$B$3</f>
        <v/>
      </c>
      <c r="N67" s="9" t="n">
        <v>1106</v>
      </c>
      <c r="O67" s="9" t="n">
        <v>1716</v>
      </c>
      <c r="P67" s="9" t="n">
        <v>1800</v>
      </c>
      <c r="Q67" s="10" t="n">
        <v>1</v>
      </c>
      <c r="R67" s="11">
        <f>N67+O67+P67+Q67*'Правила и допущения'!$B$3</f>
        <v/>
      </c>
      <c r="S67" s="7" t="inlineStr">
        <is>
          <t>16 ч 00 мин</t>
        </is>
      </c>
      <c r="T67" s="10" t="inlineStr">
        <is>
          <t>14 ч 40 мин</t>
        </is>
      </c>
      <c r="U67" s="5" t="inlineStr">
        <is>
          <t>Ярославский вокзал рядом с Казанским; обратно удобный — днём 31.10</t>
        </is>
      </c>
    </row>
    <row r="68">
      <c r="A68" s="5" t="n">
        <v>64</v>
      </c>
      <c r="B68" s="5" t="inlineStr">
        <is>
          <t>Макеев Сергей Иванович</t>
        </is>
      </c>
      <c r="C68" s="5" t="inlineStr">
        <is>
          <t>уточнить</t>
        </is>
      </c>
      <c r="D68" s="5" t="inlineStr">
        <is>
          <t>Калуга</t>
        </is>
      </c>
      <c r="E68" s="5" t="inlineStr">
        <is>
          <t>Авто</t>
        </is>
      </c>
      <c r="F68" s="6">
        <f>'Авто'!J9/2</f>
        <v/>
      </c>
      <c r="G68" s="6">
        <f>'Авто'!J9/2</f>
        <v/>
      </c>
      <c r="H68" s="6">
        <f>'Авто'!J9/2</f>
        <v/>
      </c>
      <c r="I68" s="6">
        <f>'Авто'!J9/2</f>
        <v/>
      </c>
      <c r="J68" s="6" t="n">
        <v>0</v>
      </c>
      <c r="K68" s="7" t="n">
        <v>0</v>
      </c>
      <c r="L68" s="8">
        <f>F68+H68+J68+K68*'Правила и допущения'!$B$3</f>
        <v/>
      </c>
      <c r="M68" s="8">
        <f>G68+I68+J68+K68*'Правила и допущения'!$B$3</f>
        <v/>
      </c>
      <c r="N68" s="9">
        <f>'Авто'!J9/2</f>
        <v/>
      </c>
      <c r="O68" s="9">
        <f>'Авто'!J9/2</f>
        <v/>
      </c>
      <c r="P68" s="9" t="n">
        <v>0</v>
      </c>
      <c r="Q68" s="10" t="n">
        <v>1</v>
      </c>
      <c r="R68" s="11">
        <f>N68+O68+P68+Q68*'Правила и допущения'!$B$3</f>
        <v/>
      </c>
      <c r="S68" s="7" t="inlineStr">
        <is>
          <t>7 ч 00 мин</t>
        </is>
      </c>
      <c r="T68" s="10" t="inlineStr">
        <is>
          <t>7 ч 00 мин</t>
        </is>
      </c>
      <c r="U68" s="5" t="inlineStr">
        <is>
          <t>Экипаж: Калуга. Удобный = обратно 31.10 утром + ночь</t>
        </is>
      </c>
    </row>
    <row r="69">
      <c r="B69" s="12" t="inlineStr">
        <is>
          <t>ИТОГО по списку</t>
        </is>
      </c>
      <c r="L69" s="13">
        <f>SUM(L5:L68)</f>
        <v/>
      </c>
      <c r="M69" s="13">
        <f>SUM(M5:M68)</f>
        <v/>
      </c>
      <c r="R69" s="13">
        <f>SUM(R5:R68)</f>
        <v/>
      </c>
    </row>
    <row r="70">
      <c r="B70" s="14" t="inlineStr">
        <is>
          <t xml:space="preserve">Сотрудников в списке: 64 . </t>
        </is>
      </c>
    </row>
  </sheetData>
  <autoFilter ref="A4:U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6" customWidth="1" min="4" max="4"/>
    <col width="24" customWidth="1" min="5" max="5"/>
    <col width="14" customWidth="1" min="6" max="6"/>
    <col width="17" customWidth="1" min="7" max="7"/>
    <col width="15" customWidth="1" min="8" max="8"/>
    <col width="17" customWidth="1" min="9" max="9"/>
    <col width="12" customWidth="1" min="10" max="10"/>
    <col width="12" customWidth="1" min="11" max="11"/>
    <col width="42" customWidth="1" min="12" max="12"/>
    <col width="13" customWidth="1" min="13" max="13"/>
    <col width="30" customWidth="1" min="14" max="14"/>
    <col width="12" customWidth="1" min="15" max="15"/>
    <col width="13" customWidth="1" min="16" max="16"/>
    <col width="30" customWidth="1" min="17" max="17"/>
    <col width="48" customWidth="1" min="18" max="18"/>
    <col width="18" customWidth="1" min="19" max="19"/>
  </cols>
  <sheetData>
    <row r="1" ht="45" customHeight="1">
      <c r="A1" s="2" t="inlineStr">
        <is>
          <t>Город</t>
        </is>
      </c>
      <c r="B1" s="2" t="inlineStr">
        <is>
          <t>Чел.</t>
        </is>
      </c>
      <c r="C1" s="2" t="inlineStr">
        <is>
          <t>Вариант</t>
        </is>
      </c>
      <c r="D1" s="2" t="inlineStr">
        <is>
          <t>Тип</t>
        </is>
      </c>
      <c r="E1" s="2" t="inlineStr">
        <is>
          <t>Транспорт</t>
        </is>
      </c>
      <c r="F1" s="2" t="inlineStr">
        <is>
          <t>Рейс / поезд</t>
        </is>
      </c>
      <c r="G1" s="2" t="inlineStr">
        <is>
          <t>Отправление</t>
        </is>
      </c>
      <c r="H1" s="2" t="inlineStr">
        <is>
          <t>Прибытие (время МСК)</t>
        </is>
      </c>
      <c r="I1" s="2" t="inlineStr">
        <is>
          <t>Куда прибывает</t>
        </is>
      </c>
      <c r="J1" s="2" t="inlineStr">
        <is>
          <t>Цена без багажа / билет, ₽</t>
        </is>
      </c>
      <c r="K1" s="2" t="inlineStr">
        <is>
          <t>Цена с багажом, ₽</t>
        </is>
      </c>
      <c r="L1" s="2" t="inlineStr">
        <is>
          <t>Как добраться до гостиницы</t>
        </is>
      </c>
      <c r="M1" s="2" t="inlineStr">
        <is>
          <t>В гостинице (ориентир)</t>
        </is>
      </c>
      <c r="N1" s="2" t="inlineStr">
        <is>
          <t>Выход из дома → в гостинице / выезд из гостиницы → дома</t>
        </is>
      </c>
      <c r="O1" s="2" t="inlineStr">
        <is>
          <t>Время в пути (дверь–дверь)</t>
        </is>
      </c>
      <c r="P1" s="2" t="inlineStr">
        <is>
          <t>Доп. ночь</t>
        </is>
      </c>
      <c r="Q1" s="2" t="inlineStr">
        <is>
          <t>Ссылка (Туту.ру)</t>
        </is>
      </c>
      <c r="R1" s="2" t="inlineStr">
        <is>
          <t>Примечание</t>
        </is>
      </c>
      <c r="S1" s="2" t="inlineStr">
        <is>
          <t>Проверка пробок (Яндекс/2ГИС)</t>
        </is>
      </c>
    </row>
    <row r="2">
      <c r="A2" s="15" t="inlineStr">
        <is>
          <t>Омск</t>
        </is>
      </c>
      <c r="B2" s="16" t="n">
        <v>1</v>
      </c>
      <c r="C2" s="17" t="inlineStr">
        <is>
          <t>Туда</t>
        </is>
      </c>
      <c r="D2" s="17" t="inlineStr">
        <is>
          <t>Самый дешёвый</t>
        </is>
      </c>
      <c r="E2" s="17" t="inlineStr">
        <is>
          <t>Самолёт, Победа</t>
        </is>
      </c>
      <c r="F2" s="17" t="inlineStr">
        <is>
          <t>DP-6522</t>
        </is>
      </c>
      <c r="G2" s="16" t="inlineStr">
        <is>
          <t>28.10 07:05 (мест.)</t>
        </is>
      </c>
      <c r="H2" s="16" t="inlineStr">
        <is>
          <t>28.10 07:45</t>
        </is>
      </c>
      <c r="I2" s="16" t="inlineStr">
        <is>
          <t>Шереметьево</t>
        </is>
      </c>
      <c r="J2" s="18" t="n">
        <v>7655</v>
      </c>
      <c r="K2" s="18" t="n">
        <v>10548</v>
      </c>
      <c r="L2" s="16" t="inlineStr">
        <is>
          <t>Шереметьево: такси ~3 ч или аэроэкспресс → Белорусский + метро → Казанский + электричка</t>
        </is>
      </c>
      <c r="M2" s="16" t="inlineStr">
        <is>
          <t>~11:30</t>
        </is>
      </c>
      <c r="N2" s="16" t="inlineStr">
        <is>
          <t>28.10 04:05 (мест.) → 28.10 11:30 МСК</t>
        </is>
      </c>
      <c r="O2" s="15" t="inlineStr">
        <is>
          <t>10 ч 25 мин</t>
        </is>
      </c>
      <c r="P2" s="16" t="inlineStr"/>
      <c r="Q2" s="19" t="inlineStr">
        <is>
          <t>https://avia.tutu.ru/f/Omsk/Moskva/?class=Y&amp;travelers=1&amp;route[0]=62-28102026-491</t>
        </is>
      </c>
      <c r="R2" s="16" t="inlineStr">
        <is>
          <t>Ранний подъём (~04:00). Все прямые рейсы 28.10 вылетают до 08:05</t>
        </is>
      </c>
      <c r="S2" s="16" t="inlineStr">
        <is>
          <t>проверить</t>
        </is>
      </c>
    </row>
    <row r="3">
      <c r="A3" s="5" t="inlineStr">
        <is>
          <t>Омск</t>
        </is>
      </c>
      <c r="B3" s="5" t="n">
        <v>1</v>
      </c>
      <c r="C3" s="10" t="inlineStr">
        <is>
          <t>Туда (27.10)</t>
        </is>
      </c>
      <c r="D3" s="10" t="inlineStr">
        <is>
          <t>Удобный</t>
        </is>
      </c>
      <c r="E3" s="10" t="inlineStr">
        <is>
          <t>Самолёт, Аэрофлот</t>
        </is>
      </c>
      <c r="F3" s="10" t="inlineStr">
        <is>
          <t>SU-1689</t>
        </is>
      </c>
      <c r="G3" s="5" t="inlineStr">
        <is>
          <t>27.10 17:15 (мест.)</t>
        </is>
      </c>
      <c r="H3" s="5" t="inlineStr">
        <is>
          <t>27.10 17:55</t>
        </is>
      </c>
      <c r="I3" s="5" t="inlineStr">
        <is>
          <t>Шереметьево</t>
        </is>
      </c>
      <c r="J3" s="9" t="n">
        <v>10328</v>
      </c>
      <c r="K3" s="9" t="n">
        <v>14270</v>
      </c>
      <c r="L3" s="5" t="inlineStr">
        <is>
          <t>Такси ~3 ч (вечер 27.10)</t>
        </is>
      </c>
      <c r="M3" s="5" t="inlineStr">
        <is>
          <t>27.10 ~22:00</t>
        </is>
      </c>
      <c r="N3" s="5" t="inlineStr">
        <is>
          <t>27.10 14:15 (мест.) → 27.10 22:00 МСК</t>
        </is>
      </c>
      <c r="O3" s="20" t="inlineStr">
        <is>
          <t>10 ч 45 мин</t>
        </is>
      </c>
      <c r="P3" s="5" t="inlineStr">
        <is>
          <t>+1 ночь 27→28</t>
        </is>
      </c>
      <c r="Q3" s="21" t="inlineStr">
        <is>
          <t>https://avia.tutu.ru/f/Omsk/Moskva/?class=Y&amp;travelers=1&amp;route[0]=62-27102026-491</t>
        </is>
      </c>
      <c r="R3" s="5" t="inlineStr">
        <is>
          <t>Вылет днём накануне, ночь в гостинице — утром 28.10 отдохнувший</t>
        </is>
      </c>
      <c r="S3" s="5" t="inlineStr"/>
    </row>
    <row r="4">
      <c r="A4" s="5" t="inlineStr">
        <is>
          <t>Омск</t>
        </is>
      </c>
      <c r="B4" s="5" t="n">
        <v>1</v>
      </c>
      <c r="C4" s="7" t="inlineStr">
        <is>
          <t>Обратно</t>
        </is>
      </c>
      <c r="D4" s="7" t="inlineStr">
        <is>
          <t>Самый дешёвый</t>
        </is>
      </c>
      <c r="E4" s="7" t="inlineStr">
        <is>
          <t>Самолёт, Победа</t>
        </is>
      </c>
      <c r="F4" s="7" t="inlineStr">
        <is>
          <t>DP-6521</t>
        </is>
      </c>
      <c r="G4" s="5" t="inlineStr">
        <is>
          <t>30.10 23:45</t>
        </is>
      </c>
      <c r="H4" s="5" t="inlineStr">
        <is>
          <t>31.10 (мест.)</t>
        </is>
      </c>
      <c r="I4" s="5" t="inlineStr">
        <is>
          <t>Шереметьево</t>
        </is>
      </c>
      <c r="J4" s="6" t="n">
        <v>9591</v>
      </c>
      <c r="K4" s="6" t="n">
        <v>12638</v>
      </c>
      <c r="L4" s="5" t="inlineStr">
        <is>
          <t>Выезд из гостиницы 18:15; в аэропорту за 2 ч до вылета</t>
        </is>
      </c>
      <c r="M4" s="5" t="inlineStr"/>
      <c r="N4" s="5" t="inlineStr">
        <is>
          <t>30.10 18:15 МСК → 31.10 07:45 (мест.)</t>
        </is>
      </c>
      <c r="O4" s="20" t="inlineStr">
        <is>
          <t>10 ч 30 мин</t>
        </is>
      </c>
      <c r="P4" s="5" t="inlineStr"/>
      <c r="Q4" s="21" t="inlineStr">
        <is>
          <t>https://avia.tutu.ru/f/Moskva/Omsk/?class=Y&amp;travelers=1&amp;route[0]=491-30102026-62</t>
        </is>
      </c>
      <c r="R4" s="5" t="inlineStr">
        <is>
          <t>Ночной рейс сразу после конференции</t>
        </is>
      </c>
      <c r="S4" s="5" t="inlineStr"/>
    </row>
    <row r="5">
      <c r="A5" s="5" t="inlineStr">
        <is>
          <t>Омск</t>
        </is>
      </c>
      <c r="B5" s="5" t="n">
        <v>1</v>
      </c>
      <c r="C5" s="10" t="inlineStr">
        <is>
          <t>Обратно</t>
        </is>
      </c>
      <c r="D5" s="10" t="inlineStr">
        <is>
          <t>Удобный</t>
        </is>
      </c>
      <c r="E5" s="10" t="inlineStr">
        <is>
          <t>Самолёт, Победа</t>
        </is>
      </c>
      <c r="F5" s="10" t="inlineStr">
        <is>
          <t>DP-6523</t>
        </is>
      </c>
      <c r="G5" s="5" t="inlineStr">
        <is>
          <t>31.10 22:00</t>
        </is>
      </c>
      <c r="H5" s="5" t="inlineStr">
        <is>
          <t>01.11 04:20 (мест.)</t>
        </is>
      </c>
      <c r="I5" s="5" t="inlineStr">
        <is>
          <t>Шереметьево</t>
        </is>
      </c>
      <c r="J5" s="9" t="n">
        <v>9591</v>
      </c>
      <c r="K5" s="9" t="n">
        <v>12639</v>
      </c>
      <c r="L5" s="5" t="inlineStr">
        <is>
          <t>31.10 днём: электричка + аэроэкспресс или такси ~2 ч 30 мин</t>
        </is>
      </c>
      <c r="M5" s="5" t="inlineStr"/>
      <c r="N5" s="5" t="inlineStr">
        <is>
          <t>31.10 17:30 МСК → 01.11 06:00 (мест.)</t>
        </is>
      </c>
      <c r="O5" s="20" t="inlineStr">
        <is>
          <t>9 ч 30 мин</t>
        </is>
      </c>
      <c r="P5" s="5" t="inlineStr">
        <is>
          <t>+1 ночь 30→31</t>
        </is>
      </c>
      <c r="Q5" s="21" t="inlineStr">
        <is>
          <t>https://avia.tutu.ru/f/Moskva/Omsk/?class=Y&amp;travelers=1&amp;route[0]=491-31102026-62</t>
        </is>
      </c>
      <c r="R5" s="5" t="inlineStr">
        <is>
          <t>Дневных рейсов в Омск нет. День 31.10 на отдых, вечерний вылет</t>
        </is>
      </c>
      <c r="S5" s="5" t="inlineStr">
        <is>
          <t>проверить</t>
        </is>
      </c>
    </row>
    <row r="6">
      <c r="A6" s="15" t="inlineStr">
        <is>
          <t>Уфа</t>
        </is>
      </c>
      <c r="B6" s="16" t="n">
        <v>1</v>
      </c>
      <c r="C6" s="17" t="inlineStr">
        <is>
          <t>Туда</t>
        </is>
      </c>
      <c r="D6" s="17" t="inlineStr">
        <is>
          <t>Самый дешёвый</t>
        </is>
      </c>
      <c r="E6" s="17" t="inlineStr">
        <is>
          <t>Самолёт, Победа</t>
        </is>
      </c>
      <c r="F6" s="17" t="inlineStr">
        <is>
          <t>DP-436</t>
        </is>
      </c>
      <c r="G6" s="16" t="inlineStr">
        <is>
          <t>28.10 07:00 (мест.)</t>
        </is>
      </c>
      <c r="H6" s="16" t="inlineStr">
        <is>
          <t>28.10 07:20</t>
        </is>
      </c>
      <c r="I6" s="16" t="inlineStr">
        <is>
          <t>Внуково</t>
        </is>
      </c>
      <c r="J6" s="18" t="n">
        <v>6638</v>
      </c>
      <c r="K6" s="18" t="n">
        <v>9416</v>
      </c>
      <c r="L6" s="16" t="inlineStr">
        <is>
          <t>Внуково: метро → Казанский вокзал + электричка, или такси ~2 ч 45 мин</t>
        </is>
      </c>
      <c r="M6" s="16" t="inlineStr">
        <is>
          <t>~10:45</t>
        </is>
      </c>
      <c r="N6" s="16" t="inlineStr">
        <is>
          <t>28.10 04:00 (мест.) → 28.10 10:45 МСК</t>
        </is>
      </c>
      <c r="O6" s="15" t="inlineStr">
        <is>
          <t>8 ч 45 мин</t>
        </is>
      </c>
      <c r="P6" s="16" t="inlineStr"/>
      <c r="Q6" s="19" t="inlineStr">
        <is>
          <t>https://avia.tutu.ru/f/Ufa/Moskva/?class=Y&amp;travelers=1&amp;route[0]=93-28102026-491</t>
        </is>
      </c>
      <c r="R6" s="16" t="inlineStr">
        <is>
          <t>Ранний подъём</t>
        </is>
      </c>
      <c r="S6" s="16" t="inlineStr">
        <is>
          <t>проверить</t>
        </is>
      </c>
    </row>
    <row r="7">
      <c r="A7" s="5" t="inlineStr">
        <is>
          <t>Уфа</t>
        </is>
      </c>
      <c r="B7" s="5" t="n">
        <v>1</v>
      </c>
      <c r="C7" s="10" t="inlineStr">
        <is>
          <t>Туда</t>
        </is>
      </c>
      <c r="D7" s="10" t="inlineStr">
        <is>
          <t>Удобный</t>
        </is>
      </c>
      <c r="E7" s="10" t="inlineStr">
        <is>
          <t>Самолёт, S7</t>
        </is>
      </c>
      <c r="F7" s="10" t="inlineStr">
        <is>
          <t>S7-1136</t>
        </is>
      </c>
      <c r="G7" s="5" t="inlineStr">
        <is>
          <t>28.10 15:55 (мест.)</t>
        </is>
      </c>
      <c r="H7" s="5" t="inlineStr">
        <is>
          <t>28.10 16:15</t>
        </is>
      </c>
      <c r="I7" s="5" t="inlineStr">
        <is>
          <t>Домодедово</t>
        </is>
      </c>
      <c r="J7" s="9" t="n">
        <v>7884</v>
      </c>
      <c r="K7" s="9" t="n">
        <v>11268</v>
      </c>
      <c r="L7" s="5" t="inlineStr">
        <is>
          <t>Домодедово: такси 1 ч 45 мин + 40 мин на выход (группа 2–4 чел.)</t>
        </is>
      </c>
      <c r="M7" s="5" t="inlineStr">
        <is>
          <t>~18:40</t>
        </is>
      </c>
      <c r="N7" s="5" t="inlineStr">
        <is>
          <t>28.10 12:55 (мест.) → 28.10 18:40 МСК</t>
        </is>
      </c>
      <c r="O7" s="20" t="inlineStr">
        <is>
          <t>7 ч 45 мин</t>
        </is>
      </c>
      <c r="P7" s="5" t="inlineStr"/>
      <c r="Q7" s="21" t="inlineStr">
        <is>
          <t>https://avia.tutu.ru/f/Ufa/Moskva/?class=Y&amp;travelers=1&amp;route[0]=93-28102026-491</t>
        </is>
      </c>
      <c r="R7" s="5" t="inlineStr">
        <is>
          <t>Без экскурсии. Для экскурсии: SU-1237 12:45 → SVO 13:05, 8 521 / 11 889</t>
        </is>
      </c>
      <c r="S7" s="5" t="inlineStr">
        <is>
          <t>проверить</t>
        </is>
      </c>
    </row>
    <row r="8">
      <c r="A8" s="5" t="inlineStr">
        <is>
          <t>Уфа</t>
        </is>
      </c>
      <c r="B8" s="5" t="n">
        <v>1</v>
      </c>
      <c r="C8" s="7" t="inlineStr">
        <is>
          <t>Обратно</t>
        </is>
      </c>
      <c r="D8" s="7" t="inlineStr">
        <is>
          <t>Самый дешёвый</t>
        </is>
      </c>
      <c r="E8" s="7" t="inlineStr">
        <is>
          <t>Самолёт, Победа</t>
        </is>
      </c>
      <c r="F8" s="7" t="inlineStr">
        <is>
          <t>DP-435</t>
        </is>
      </c>
      <c r="G8" s="5" t="inlineStr">
        <is>
          <t>30.10 23:40</t>
        </is>
      </c>
      <c r="H8" s="5" t="inlineStr">
        <is>
          <t>31.10 (мест.)</t>
        </is>
      </c>
      <c r="I8" s="5" t="inlineStr">
        <is>
          <t>Внуково</t>
        </is>
      </c>
      <c r="J8" s="6" t="n">
        <v>8417</v>
      </c>
      <c r="K8" s="6" t="n">
        <v>11288</v>
      </c>
      <c r="L8" s="5" t="inlineStr">
        <is>
          <t>Выезд из гостиницы 18:15; в аэропорту за 2 ч до вылета</t>
        </is>
      </c>
      <c r="M8" s="5" t="inlineStr"/>
      <c r="N8" s="5" t="inlineStr">
        <is>
          <t>30.10 18:15 МСК → 31.10 05:30 (мест.)</t>
        </is>
      </c>
      <c r="O8" s="20" t="inlineStr">
        <is>
          <t>9 ч 15 мин</t>
        </is>
      </c>
      <c r="P8" s="5" t="inlineStr"/>
      <c r="Q8" s="21" t="inlineStr">
        <is>
          <t>https://avia.tutu.ru/f/Moskva/Ufa/?class=Y&amp;travelers=1&amp;route[0]=491-30102026-93</t>
        </is>
      </c>
      <c r="R8" s="5" t="inlineStr">
        <is>
          <t>Ночной рейс</t>
        </is>
      </c>
      <c r="S8" s="5" t="inlineStr"/>
    </row>
    <row r="9">
      <c r="A9" s="5" t="inlineStr">
        <is>
          <t>Уфа</t>
        </is>
      </c>
      <c r="B9" s="5" t="n">
        <v>1</v>
      </c>
      <c r="C9" s="10" t="inlineStr">
        <is>
          <t>Обратно</t>
        </is>
      </c>
      <c r="D9" s="10" t="inlineStr">
        <is>
          <t>Удобный</t>
        </is>
      </c>
      <c r="E9" s="10" t="inlineStr">
        <is>
          <t>Самолёт, S7</t>
        </is>
      </c>
      <c r="F9" s="10" t="inlineStr">
        <is>
          <t>S7-1135</t>
        </is>
      </c>
      <c r="G9" s="5" t="inlineStr">
        <is>
          <t>31.10 11:00</t>
        </is>
      </c>
      <c r="H9" s="5" t="inlineStr">
        <is>
          <t>31.10 15:10 (мест.)</t>
        </is>
      </c>
      <c r="I9" s="5" t="inlineStr">
        <is>
          <t>Домодедово</t>
        </is>
      </c>
      <c r="J9" s="9" t="n">
        <v>8639</v>
      </c>
      <c r="K9" s="9" t="n">
        <v>12118</v>
      </c>
      <c r="L9" s="5" t="inlineStr">
        <is>
          <t>31.10 утро: такси до Домодедово ~1 ч 30 мин</t>
        </is>
      </c>
      <c r="M9" s="5" t="inlineStr"/>
      <c r="N9" s="5" t="inlineStr">
        <is>
          <t>31.10 07:30 МСК → 31.10 16:50 (мест.)</t>
        </is>
      </c>
      <c r="O9" s="20" t="inlineStr">
        <is>
          <t>7 ч 20 мин</t>
        </is>
      </c>
      <c r="P9" s="5" t="inlineStr">
        <is>
          <t>+1 ночь 30→31</t>
        </is>
      </c>
      <c r="Q9" s="21" t="inlineStr">
        <is>
          <t>https://avia.tutu.ru/f/Moskva/Ufa/?class=Y&amp;travelers=1&amp;route[0]=491-31102026-93</t>
        </is>
      </c>
      <c r="R9" s="5" t="inlineStr"/>
      <c r="S9" s="5" t="inlineStr">
        <is>
          <t>проверить</t>
        </is>
      </c>
    </row>
    <row r="10">
      <c r="A10" s="15" t="inlineStr">
        <is>
          <t>Ревда (а/п Екатеринбург)</t>
        </is>
      </c>
      <c r="B10" s="16" t="n">
        <v>1</v>
      </c>
      <c r="C10" s="17" t="inlineStr">
        <is>
          <t>Туда</t>
        </is>
      </c>
      <c r="D10" s="17" t="inlineStr">
        <is>
          <t>Самый дешёвый</t>
        </is>
      </c>
      <c r="E10" s="17" t="inlineStr">
        <is>
          <t>Самолёт, Победа</t>
        </is>
      </c>
      <c r="F10" s="17" t="inlineStr">
        <is>
          <t>DP-404</t>
        </is>
      </c>
      <c r="G10" s="16" t="inlineStr">
        <is>
          <t>28.10 06:50 (мест.)</t>
        </is>
      </c>
      <c r="H10" s="16" t="inlineStr">
        <is>
          <t>28.10 07:30</t>
        </is>
      </c>
      <c r="I10" s="16" t="inlineStr">
        <is>
          <t>Внуково</t>
        </is>
      </c>
      <c r="J10" s="18" t="n">
        <v>7113</v>
      </c>
      <c r="K10" s="18" t="n">
        <v>10054</v>
      </c>
      <c r="L10" s="16" t="inlineStr">
        <is>
          <t>Внуково: метро → Казанский вокзал + электричка, или такси ~2 ч 45 мин</t>
        </is>
      </c>
      <c r="M10" s="16" t="inlineStr">
        <is>
          <t>~10:55</t>
        </is>
      </c>
      <c r="N10" s="16" t="inlineStr">
        <is>
          <t>28.10 03:40 (мест.) → 28.10 10:55 МСК</t>
        </is>
      </c>
      <c r="O10" s="15" t="inlineStr">
        <is>
          <t>9 ч 15 мин</t>
        </is>
      </c>
      <c r="P10" s="16" t="inlineStr"/>
      <c r="Q10" s="19" t="inlineStr">
        <is>
          <t>https://avia.tutu.ru/f/Ekaterinburg/Moskva/?class=Y&amp;travelers=1&amp;route[0]=29-28102026-491</t>
        </is>
      </c>
      <c r="R10" s="16" t="inlineStr">
        <is>
          <t>Выезд из Ревды ~03:50</t>
        </is>
      </c>
      <c r="S10" s="16" t="inlineStr">
        <is>
          <t>проверить</t>
        </is>
      </c>
    </row>
    <row r="11">
      <c r="A11" s="5" t="inlineStr">
        <is>
          <t>Ревда (а/п Екатеринбург)</t>
        </is>
      </c>
      <c r="B11" s="5" t="n">
        <v>1</v>
      </c>
      <c r="C11" s="10" t="inlineStr">
        <is>
          <t>Туда</t>
        </is>
      </c>
      <c r="D11" s="10" t="inlineStr">
        <is>
          <t>Удобный</t>
        </is>
      </c>
      <c r="E11" s="10" t="inlineStr">
        <is>
          <t>Самолёт, Уральские авиалинии</t>
        </is>
      </c>
      <c r="F11" s="10" t="inlineStr">
        <is>
          <t>U6-300</t>
        </is>
      </c>
      <c r="G11" s="5" t="inlineStr">
        <is>
          <t>28.10 12:00 (мест.)</t>
        </is>
      </c>
      <c r="H11" s="5" t="inlineStr">
        <is>
          <t>28.10 12:40</t>
        </is>
      </c>
      <c r="I11" s="5" t="inlineStr">
        <is>
          <t>Домодедово</t>
        </is>
      </c>
      <c r="J11" s="9" t="n">
        <v>10289</v>
      </c>
      <c r="K11" s="9" t="n">
        <v>13395</v>
      </c>
      <c r="L11" s="5" t="inlineStr">
        <is>
          <t>Домодедово: такси 1 ч 45 мин + 40 мин на выход (группа 2–4 чел.)</t>
        </is>
      </c>
      <c r="M11" s="5" t="inlineStr">
        <is>
          <t>~15:05</t>
        </is>
      </c>
      <c r="N11" s="5" t="inlineStr">
        <is>
          <t>28.10 08:50 (мест.) → 28.10 15:05 МСК</t>
        </is>
      </c>
      <c r="O11" s="20" t="inlineStr">
        <is>
          <t>8 ч 15 мин</t>
        </is>
      </c>
      <c r="P11" s="5" t="inlineStr"/>
      <c r="Q11" s="21" t="inlineStr">
        <is>
          <t>https://avia.tutu.ru/f/Ekaterinburg/Moskva/?class=Y&amp;travelers=1&amp;route[0]=29-28102026-491</t>
        </is>
      </c>
      <c r="R11" s="5" t="inlineStr">
        <is>
          <t>Выезд из Ревды ~09:00; к экскурсии успевает</t>
        </is>
      </c>
      <c r="S11" s="5" t="inlineStr">
        <is>
          <t>проверить</t>
        </is>
      </c>
    </row>
    <row r="12">
      <c r="A12" s="5" t="inlineStr">
        <is>
          <t>Ревда (а/п Екатеринбург)</t>
        </is>
      </c>
      <c r="B12" s="5" t="n">
        <v>1</v>
      </c>
      <c r="C12" s="7" t="inlineStr">
        <is>
          <t>Обратно</t>
        </is>
      </c>
      <c r="D12" s="7" t="inlineStr">
        <is>
          <t>Самый дешёвый</t>
        </is>
      </c>
      <c r="E12" s="7" t="inlineStr">
        <is>
          <t>Самолёт, Уральские авиалинии</t>
        </is>
      </c>
      <c r="F12" s="7" t="inlineStr">
        <is>
          <t>U6-271</t>
        </is>
      </c>
      <c r="G12" s="5" t="inlineStr">
        <is>
          <t>30.10 23:45</t>
        </is>
      </c>
      <c r="H12" s="5" t="inlineStr">
        <is>
          <t>31.10 04:15 (мест.)</t>
        </is>
      </c>
      <c r="I12" s="5" t="inlineStr">
        <is>
          <t>Домодедово</t>
        </is>
      </c>
      <c r="J12" s="6" t="n">
        <v>10285</v>
      </c>
      <c r="K12" s="6" t="n">
        <v>13388</v>
      </c>
      <c r="L12" s="5" t="inlineStr">
        <is>
          <t>Выезд из гостиницы 18:15; в аэропорту за 2 ч до вылета</t>
        </is>
      </c>
      <c r="M12" s="5" t="inlineStr"/>
      <c r="N12" s="5" t="inlineStr">
        <is>
          <t>30.10 18:15 МСК → 31.10 06:05 (мест.)</t>
        </is>
      </c>
      <c r="O12" s="20" t="inlineStr">
        <is>
          <t>9 ч 50 мин</t>
        </is>
      </c>
      <c r="P12" s="5" t="inlineStr"/>
      <c r="Q12" s="21" t="inlineStr">
        <is>
          <t>https://avia.tutu.ru/f/Moskva/Ekaterinburg/?class=Y&amp;travelers=1&amp;route[0]=491-30102026-29</t>
        </is>
      </c>
      <c r="R12" s="5" t="inlineStr">
        <is>
          <t>Ночной рейс</t>
        </is>
      </c>
      <c r="S12" s="5" t="inlineStr"/>
    </row>
    <row r="13">
      <c r="A13" s="5" t="inlineStr">
        <is>
          <t>Ревда (а/п Екатеринбург)</t>
        </is>
      </c>
      <c r="B13" s="5" t="n">
        <v>1</v>
      </c>
      <c r="C13" s="10" t="inlineStr">
        <is>
          <t>Обратно</t>
        </is>
      </c>
      <c r="D13" s="10" t="inlineStr">
        <is>
          <t>Удобный</t>
        </is>
      </c>
      <c r="E13" s="10" t="inlineStr">
        <is>
          <t>Самолёт, Уральские авиалинии</t>
        </is>
      </c>
      <c r="F13" s="10" t="inlineStr">
        <is>
          <t>U6-261</t>
        </is>
      </c>
      <c r="G13" s="5" t="inlineStr">
        <is>
          <t>31.10 10:00</t>
        </is>
      </c>
      <c r="H13" s="5" t="inlineStr">
        <is>
          <t>31.10 14:30 (мест.)</t>
        </is>
      </c>
      <c r="I13" s="5" t="inlineStr">
        <is>
          <t>Домодедово</t>
        </is>
      </c>
      <c r="J13" s="9" t="n">
        <v>11783</v>
      </c>
      <c r="K13" s="9" t="n">
        <v>15996</v>
      </c>
      <c r="L13" s="5" t="inlineStr">
        <is>
          <t>31.10 утро: такси до Домодедово ~1 ч 30 мин (с группой Екатеринбурга)</t>
        </is>
      </c>
      <c r="M13" s="5" t="inlineStr"/>
      <c r="N13" s="5" t="inlineStr">
        <is>
          <t>31.10 06:30 МСК → 31.10 16:20 (мест.)</t>
        </is>
      </c>
      <c r="O13" s="20" t="inlineStr">
        <is>
          <t>7 ч 50 мин</t>
        </is>
      </c>
      <c r="P13" s="5" t="inlineStr">
        <is>
          <t>+1 ночь 30→31</t>
        </is>
      </c>
      <c r="Q13" s="21" t="inlineStr">
        <is>
          <t>https://avia.tutu.ru/f/Moskva/Ekaterinburg/?class=Y&amp;travelers=1&amp;route[0]=491-31102026-29</t>
        </is>
      </c>
      <c r="R13" s="5" t="inlineStr"/>
      <c r="S13" s="5" t="inlineStr">
        <is>
          <t>проверить</t>
        </is>
      </c>
    </row>
    <row r="14">
      <c r="A14" s="15" t="inlineStr">
        <is>
          <t>Новосибирск</t>
        </is>
      </c>
      <c r="B14" s="16" t="n">
        <v>3</v>
      </c>
      <c r="C14" s="17" t="inlineStr">
        <is>
          <t>Туда</t>
        </is>
      </c>
      <c r="D14" s="17" t="inlineStr">
        <is>
          <t>Самый дешёвый</t>
        </is>
      </c>
      <c r="E14" s="17" t="inlineStr">
        <is>
          <t>Самолёт, Победа</t>
        </is>
      </c>
      <c r="F14" s="17" t="inlineStr">
        <is>
          <t>DP-6526</t>
        </is>
      </c>
      <c r="G14" s="16" t="inlineStr">
        <is>
          <t>28.10 07:50 (мест.)</t>
        </is>
      </c>
      <c r="H14" s="16" t="inlineStr">
        <is>
          <t>28.10 08:20</t>
        </is>
      </c>
      <c r="I14" s="16" t="inlineStr">
        <is>
          <t>Шереметьево</t>
        </is>
      </c>
      <c r="J14" s="18" t="n">
        <v>7623</v>
      </c>
      <c r="K14" s="18" t="n">
        <v>10502</v>
      </c>
      <c r="L14" s="16" t="inlineStr">
        <is>
          <t>Шереметьево: такси ~3 ч или аэроэкспресс → Белорусский + метро → Казанский + электричка</t>
        </is>
      </c>
      <c r="M14" s="16" t="inlineStr">
        <is>
          <t>~12:00</t>
        </is>
      </c>
      <c r="N14" s="16" t="inlineStr">
        <is>
          <t>28.10 04:50 (мест.) → 28.10 12:00 МСК</t>
        </is>
      </c>
      <c r="O14" s="15" t="inlineStr">
        <is>
          <t>11 ч 10 мин</t>
        </is>
      </c>
      <c r="P14" s="16" t="inlineStr"/>
      <c r="Q14" s="19" t="inlineStr">
        <is>
          <t>https://avia.tutu.ru/f/Novosibirsk/Moskva/?class=Y&amp;travelers=1&amp;route[0]=58-28102026-491</t>
        </is>
      </c>
      <c r="R14" s="16" t="inlineStr">
        <is>
          <t>Цена за 1 человека</t>
        </is>
      </c>
      <c r="S14" s="16" t="inlineStr">
        <is>
          <t>проверить</t>
        </is>
      </c>
    </row>
    <row r="15">
      <c r="A15" s="5" t="inlineStr">
        <is>
          <t>Новосибирск</t>
        </is>
      </c>
      <c r="B15" s="5" t="n">
        <v>3</v>
      </c>
      <c r="C15" s="10" t="inlineStr">
        <is>
          <t>Туда</t>
        </is>
      </c>
      <c r="D15" s="10" t="inlineStr">
        <is>
          <t>Удобный</t>
        </is>
      </c>
      <c r="E15" s="10" t="inlineStr">
        <is>
          <t>Самолёт, Аэрофлот</t>
        </is>
      </c>
      <c r="F15" s="10" t="inlineStr">
        <is>
          <t>SU-1307</t>
        </is>
      </c>
      <c r="G15" s="5" t="inlineStr">
        <is>
          <t>28.10 10:15 (мест.)</t>
        </is>
      </c>
      <c r="H15" s="5" t="inlineStr">
        <is>
          <t>28.10 10:45</t>
        </is>
      </c>
      <c r="I15" s="5" t="inlineStr">
        <is>
          <t>Шереметьево</t>
        </is>
      </c>
      <c r="J15" s="9" t="n">
        <v>10426</v>
      </c>
      <c r="K15" s="9" t="n">
        <v>14236</v>
      </c>
      <c r="L15" s="5" t="inlineStr">
        <is>
          <t>Такси ~3 ч, втроём одна машина</t>
        </is>
      </c>
      <c r="M15" s="5" t="inlineStr">
        <is>
          <t>~14:30</t>
        </is>
      </c>
      <c r="N15" s="5" t="inlineStr">
        <is>
          <t>28.10 07:15 (мест.) → 28.10 14:30 МСК</t>
        </is>
      </c>
      <c r="O15" s="20" t="inlineStr">
        <is>
          <t>11 ч 15 мин</t>
        </is>
      </c>
      <c r="P15" s="5" t="inlineStr"/>
      <c r="Q15" s="21" t="inlineStr">
        <is>
          <t>https://avia.tutu.ru/f/Novosibirsk/Moskva/?class=Y&amp;travelers=1&amp;route[0]=58-28102026-491</t>
        </is>
      </c>
      <c r="R15" s="5" t="inlineStr">
        <is>
          <t>К экскурсии успевают</t>
        </is>
      </c>
      <c r="S15" s="5" t="inlineStr"/>
    </row>
    <row r="16">
      <c r="A16" s="5" t="inlineStr">
        <is>
          <t>Новосибирск</t>
        </is>
      </c>
      <c r="B16" s="5" t="n">
        <v>3</v>
      </c>
      <c r="C16" s="7" t="inlineStr">
        <is>
          <t>Обратно</t>
        </is>
      </c>
      <c r="D16" s="7" t="inlineStr">
        <is>
          <t>Самый дешёвый</t>
        </is>
      </c>
      <c r="E16" s="7" t="inlineStr">
        <is>
          <t>Самолёт, Победа</t>
        </is>
      </c>
      <c r="F16" s="7" t="inlineStr">
        <is>
          <t>DP-6525</t>
        </is>
      </c>
      <c r="G16" s="5" t="inlineStr">
        <is>
          <t>31.10 22:45</t>
        </is>
      </c>
      <c r="H16" s="5" t="inlineStr">
        <is>
          <t>01.11 (мест.)</t>
        </is>
      </c>
      <c r="I16" s="5" t="inlineStr">
        <is>
          <t>Шереметьево</t>
        </is>
      </c>
      <c r="J16" s="6" t="n">
        <v>8607</v>
      </c>
      <c r="K16" s="6" t="n">
        <v>11632</v>
      </c>
      <c r="L16" s="5" t="inlineStr">
        <is>
          <t>31.10 днём: электричка + аэроэкспресс или такси ~2 ч 30 мин</t>
        </is>
      </c>
      <c r="M16" s="5" t="inlineStr"/>
      <c r="N16" s="5" t="inlineStr">
        <is>
          <t>31.10 18:15 МСК → 01.11 08:45 (мест.)</t>
        </is>
      </c>
      <c r="O16" s="20" t="inlineStr">
        <is>
          <t>10 ч 30 мин</t>
        </is>
      </c>
      <c r="P16" s="5" t="inlineStr">
        <is>
          <t>+1 ночь 30→31</t>
        </is>
      </c>
      <c r="Q16" s="21" t="inlineStr">
        <is>
          <t>https://avia.tutu.ru/f/Moskva/Novosibirsk/?class=Y&amp;travelers=1&amp;route[0]=491-31102026-58</t>
        </is>
      </c>
      <c r="R16" s="5" t="inlineStr">
        <is>
          <t>Ночной рейс</t>
        </is>
      </c>
      <c r="S16" s="5" t="inlineStr">
        <is>
          <t>проверить</t>
        </is>
      </c>
    </row>
    <row r="17">
      <c r="A17" s="5" t="inlineStr">
        <is>
          <t>Новосибирск</t>
        </is>
      </c>
      <c r="B17" s="5" t="n">
        <v>3</v>
      </c>
      <c r="C17" s="10" t="inlineStr">
        <is>
          <t>Обратно</t>
        </is>
      </c>
      <c r="D17" s="10" t="inlineStr">
        <is>
          <t>Удобный</t>
        </is>
      </c>
      <c r="E17" s="10" t="inlineStr">
        <is>
          <t>Самолёт, Аэрофлот</t>
        </is>
      </c>
      <c r="F17" s="10" t="inlineStr">
        <is>
          <t>SU-1076</t>
        </is>
      </c>
      <c r="G17" s="5" t="inlineStr">
        <is>
          <t>31.10 12:20</t>
        </is>
      </c>
      <c r="H17" s="5" t="inlineStr">
        <is>
          <t>31.10 20:25 (мест.)</t>
        </is>
      </c>
      <c r="I17" s="5" t="inlineStr">
        <is>
          <t>Шереметьево</t>
        </is>
      </c>
      <c r="J17" s="9" t="n">
        <v>11503</v>
      </c>
      <c r="K17" s="9" t="n">
        <v>15333</v>
      </c>
      <c r="L17" s="5" t="inlineStr">
        <is>
          <t>31.10 утро: такси ~2 ч 30 мин, втроём</t>
        </is>
      </c>
      <c r="M17" s="5" t="inlineStr"/>
      <c r="N17" s="5" t="inlineStr">
        <is>
          <t>31.10 07:50 МСК → 31.10 22:05 (мест.)</t>
        </is>
      </c>
      <c r="O17" s="20" t="inlineStr">
        <is>
          <t>10 ч 15 мин</t>
        </is>
      </c>
      <c r="P17" s="5" t="inlineStr">
        <is>
          <t>+1 ночь 30→31</t>
        </is>
      </c>
      <c r="Q17" s="21" t="inlineStr">
        <is>
          <t>https://avia.tutu.ru/f/Moskva/Novosibirsk/?class=Y&amp;travelers=1&amp;route[0]=491-31102026-58</t>
        </is>
      </c>
      <c r="R17" s="5" t="inlineStr">
        <is>
          <t>Дома вечером 31.10</t>
        </is>
      </c>
      <c r="S17" s="5" t="inlineStr">
        <is>
          <t>проверить</t>
        </is>
      </c>
    </row>
    <row r="18">
      <c r="A18" s="15" t="inlineStr">
        <is>
          <t>Красноярск</t>
        </is>
      </c>
      <c r="B18" s="16" t="n">
        <v>1</v>
      </c>
      <c r="C18" s="17" t="inlineStr">
        <is>
          <t>Туда</t>
        </is>
      </c>
      <c r="D18" s="17" t="inlineStr">
        <is>
          <t>Самый дешёвый</t>
        </is>
      </c>
      <c r="E18" s="17" t="inlineStr">
        <is>
          <t>Самолёт, Победа</t>
        </is>
      </c>
      <c r="F18" s="17" t="inlineStr">
        <is>
          <t>DP-6548</t>
        </is>
      </c>
      <c r="G18" s="16" t="inlineStr">
        <is>
          <t>28.10 08:10 (мест.)</t>
        </is>
      </c>
      <c r="H18" s="16" t="inlineStr">
        <is>
          <t>28.10 09:25</t>
        </is>
      </c>
      <c r="I18" s="16" t="inlineStr">
        <is>
          <t>Шереметьево</t>
        </is>
      </c>
      <c r="J18" s="18" t="n">
        <v>10652</v>
      </c>
      <c r="K18" s="18" t="n">
        <v>14050</v>
      </c>
      <c r="L18" s="16" t="inlineStr">
        <is>
          <t>Шереметьево: такси ~3 ч или аэроэкспресс → Белорусский + метро → Казанский + электричка</t>
        </is>
      </c>
      <c r="M18" s="16" t="inlineStr">
        <is>
          <t>~13:05</t>
        </is>
      </c>
      <c r="N18" s="16" t="inlineStr">
        <is>
          <t>28.10 05:10 (мест.) → 28.10 13:05 МСК</t>
        </is>
      </c>
      <c r="O18" s="15" t="inlineStr">
        <is>
          <t>11 ч 55 мин</t>
        </is>
      </c>
      <c r="P18" s="16" t="inlineStr"/>
      <c r="Q18" s="19" t="inlineStr">
        <is>
          <t>https://avia.tutu.ru/</t>
        </is>
      </c>
      <c r="R18" s="16" t="inlineStr">
        <is>
          <t>Подъём ~05:00</t>
        </is>
      </c>
      <c r="S18" s="16" t="inlineStr">
        <is>
          <t>проверить</t>
        </is>
      </c>
    </row>
    <row r="19">
      <c r="A19" s="5" t="inlineStr">
        <is>
          <t>Красноярск</t>
        </is>
      </c>
      <c r="B19" s="5" t="n">
        <v>1</v>
      </c>
      <c r="C19" s="10" t="inlineStr">
        <is>
          <t>Туда</t>
        </is>
      </c>
      <c r="D19" s="10" t="inlineStr">
        <is>
          <t>Удобный</t>
        </is>
      </c>
      <c r="E19" s="10" t="inlineStr">
        <is>
          <t>Самолёт, Аэрофлот</t>
        </is>
      </c>
      <c r="F19" s="10" t="inlineStr">
        <is>
          <t>SU-1483</t>
        </is>
      </c>
      <c r="G19" s="5" t="inlineStr">
        <is>
          <t>28.10 11:05 (мест.)</t>
        </is>
      </c>
      <c r="H19" s="5" t="inlineStr">
        <is>
          <t>28.10 12:20</t>
        </is>
      </c>
      <c r="I19" s="5" t="inlineStr">
        <is>
          <t>Шереметьево</t>
        </is>
      </c>
      <c r="J19" s="9" t="n">
        <v>15358</v>
      </c>
      <c r="K19" s="9" t="n">
        <v>19270</v>
      </c>
      <c r="L19" s="5" t="inlineStr">
        <is>
          <t>Шереметьево: такси ~3 ч или аэроэкспресс → Белорусский + метро → Казанский + электричка</t>
        </is>
      </c>
      <c r="M19" s="5" t="inlineStr">
        <is>
          <t>~16:00</t>
        </is>
      </c>
      <c r="N19" s="5" t="inlineStr">
        <is>
          <t>28.10 08:05 (мест.) → 28.10 16:00 МСК</t>
        </is>
      </c>
      <c r="O19" s="20" t="inlineStr">
        <is>
          <t>11 ч 55 мин</t>
        </is>
      </c>
      <c r="P19" s="5" t="inlineStr"/>
      <c r="Q19" s="21" t="inlineStr">
        <is>
          <t>https://avia.tutu.ru/</t>
        </is>
      </c>
      <c r="R19" s="5" t="inlineStr"/>
      <c r="S19" s="5" t="inlineStr">
        <is>
          <t>проверить</t>
        </is>
      </c>
    </row>
    <row r="20">
      <c r="A20" s="5" t="inlineStr">
        <is>
          <t>Красноярск</t>
        </is>
      </c>
      <c r="B20" s="5" t="n">
        <v>1</v>
      </c>
      <c r="C20" s="7" t="inlineStr">
        <is>
          <t>Обратно</t>
        </is>
      </c>
      <c r="D20" s="7" t="inlineStr">
        <is>
          <t>Самый дешёвый</t>
        </is>
      </c>
      <c r="E20" s="7" t="inlineStr">
        <is>
          <t>Самолёт, Победа</t>
        </is>
      </c>
      <c r="F20" s="7" t="inlineStr">
        <is>
          <t>DP-6547</t>
        </is>
      </c>
      <c r="G20" s="5" t="inlineStr">
        <is>
          <t>31.10 22:35</t>
        </is>
      </c>
      <c r="H20" s="5" t="inlineStr">
        <is>
          <t>01.11 (мест.)</t>
        </is>
      </c>
      <c r="I20" s="5" t="inlineStr">
        <is>
          <t>Шереметьево</t>
        </is>
      </c>
      <c r="J20" s="6" t="n">
        <v>9430</v>
      </c>
      <c r="K20" s="6" t="n">
        <v>12647</v>
      </c>
      <c r="L20" s="5" t="inlineStr">
        <is>
          <t>31.10 днём: электричка + аэроэкспресс или такси ~2 ч 30 мин</t>
        </is>
      </c>
      <c r="M20" s="5" t="inlineStr"/>
      <c r="N20" s="5" t="inlineStr">
        <is>
          <t>31.10 18:05 МСК → 01.11 08:45 (мест.)</t>
        </is>
      </c>
      <c r="O20" s="20" t="inlineStr">
        <is>
          <t>10 ч 40 мин</t>
        </is>
      </c>
      <c r="P20" s="5" t="inlineStr">
        <is>
          <t>+1 ночь 30→31</t>
        </is>
      </c>
      <c r="Q20" s="21" t="inlineStr">
        <is>
          <t>https://avia.tutu.ru/</t>
        </is>
      </c>
      <c r="R20" s="5" t="inlineStr">
        <is>
          <t>Ночной рейс</t>
        </is>
      </c>
      <c r="S20" s="5" t="inlineStr">
        <is>
          <t>проверить</t>
        </is>
      </c>
    </row>
    <row r="21">
      <c r="A21" s="5" t="inlineStr">
        <is>
          <t>Красноярск</t>
        </is>
      </c>
      <c r="B21" s="5" t="n">
        <v>1</v>
      </c>
      <c r="C21" s="10" t="inlineStr">
        <is>
          <t>Обратно</t>
        </is>
      </c>
      <c r="D21" s="10" t="inlineStr">
        <is>
          <t>Удобный</t>
        </is>
      </c>
      <c r="E21" s="10" t="inlineStr">
        <is>
          <t>Самолёт, Аэрофлот</t>
        </is>
      </c>
      <c r="F21" s="10" t="inlineStr">
        <is>
          <t>SU-1488</t>
        </is>
      </c>
      <c r="G21" s="5" t="inlineStr">
        <is>
          <t>31.10 13:05</t>
        </is>
      </c>
      <c r="H21" s="5" t="inlineStr">
        <is>
          <t>31.10 вечер (мест.)</t>
        </is>
      </c>
      <c r="I21" s="5" t="inlineStr">
        <is>
          <t>Шереметьево</t>
        </is>
      </c>
      <c r="J21" s="9" t="n">
        <v>20707</v>
      </c>
      <c r="K21" s="9" t="n">
        <v>25343</v>
      </c>
      <c r="L21" s="5" t="inlineStr">
        <is>
          <t>31.10 утро: такси ~2 ч 30 мин</t>
        </is>
      </c>
      <c r="M21" s="5" t="inlineStr"/>
      <c r="N21" s="5" t="inlineStr">
        <is>
          <t>31.10 08:35 МСК → 31.10 23:15 (мест.)</t>
        </is>
      </c>
      <c r="O21" s="20" t="inlineStr">
        <is>
          <t>10 ч 40 мин</t>
        </is>
      </c>
      <c r="P21" s="5" t="inlineStr">
        <is>
          <t>+1 ночь 30→31</t>
        </is>
      </c>
      <c r="Q21" s="21" t="inlineStr">
        <is>
          <t>https://avia.tutu.ru/</t>
        </is>
      </c>
      <c r="R21" s="5" t="inlineStr">
        <is>
          <t>Дома вечером 31.10</t>
        </is>
      </c>
      <c r="S21" s="5" t="inlineStr">
        <is>
          <t>проверить</t>
        </is>
      </c>
    </row>
    <row r="22">
      <c r="A22" s="15" t="inlineStr">
        <is>
          <t>Абакан</t>
        </is>
      </c>
      <c r="B22" s="16" t="n">
        <v>1</v>
      </c>
      <c r="C22" s="17" t="inlineStr">
        <is>
          <t>Туда</t>
        </is>
      </c>
      <c r="D22" s="17" t="inlineStr">
        <is>
          <t>Самый дешёвый</t>
        </is>
      </c>
      <c r="E22" s="17" t="inlineStr">
        <is>
          <t>Самолёт, S7</t>
        </is>
      </c>
      <c r="F22" s="17" t="inlineStr">
        <is>
          <t>S7-2594</t>
        </is>
      </c>
      <c r="G22" s="16" t="inlineStr">
        <is>
          <t>28.10 07:15 (мест.)</t>
        </is>
      </c>
      <c r="H22" s="16" t="inlineStr">
        <is>
          <t>28.10 08:25</t>
        </is>
      </c>
      <c r="I22" s="16" t="inlineStr">
        <is>
          <t>Домодедово</t>
        </is>
      </c>
      <c r="J22" s="18" t="n">
        <v>19228</v>
      </c>
      <c r="K22" s="18" t="n">
        <v>25593</v>
      </c>
      <c r="L22" s="16" t="inlineStr">
        <is>
          <t>Домодедово: такси 1 ч 45 мин + 40 мин на выход (группа 2–4 чел.)</t>
        </is>
      </c>
      <c r="M22" s="16" t="inlineStr">
        <is>
          <t>~10:50</t>
        </is>
      </c>
      <c r="N22" s="16" t="inlineStr">
        <is>
          <t>28.10 05:00 (мест.) → 28.10 10:50 МСК</t>
        </is>
      </c>
      <c r="O22" s="15" t="inlineStr">
        <is>
          <t>9 ч 50 мин</t>
        </is>
      </c>
      <c r="P22" s="16" t="inlineStr"/>
      <c r="Q22" s="19" t="inlineStr">
        <is>
          <t>https://avia.tutu.ru/</t>
        </is>
      </c>
      <c r="R22" s="16" t="inlineStr">
        <is>
          <t>Ранний подъём</t>
        </is>
      </c>
      <c r="S22" s="16" t="inlineStr">
        <is>
          <t>проверить</t>
        </is>
      </c>
    </row>
    <row r="23">
      <c r="A23" s="5" t="inlineStr">
        <is>
          <t>Абакан</t>
        </is>
      </c>
      <c r="B23" s="5" t="n">
        <v>1</v>
      </c>
      <c r="C23" s="10" t="inlineStr">
        <is>
          <t>Туда</t>
        </is>
      </c>
      <c r="D23" s="10" t="inlineStr">
        <is>
          <t>Удобный</t>
        </is>
      </c>
      <c r="E23" s="10" t="inlineStr">
        <is>
          <t>Самолёт, Аэрофлот</t>
        </is>
      </c>
      <c r="F23" s="10" t="inlineStr">
        <is>
          <t>SU-1479</t>
        </is>
      </c>
      <c r="G23" s="5" t="inlineStr">
        <is>
          <t>28.10 09:55 (мест.)</t>
        </is>
      </c>
      <c r="H23" s="5" t="inlineStr">
        <is>
          <t>28.10 11:00</t>
        </is>
      </c>
      <c r="I23" s="5" t="inlineStr">
        <is>
          <t>Шереметьево</t>
        </is>
      </c>
      <c r="J23" s="9" t="n">
        <v>21247</v>
      </c>
      <c r="K23" s="9" t="n">
        <v>25201</v>
      </c>
      <c r="L23" s="5" t="inlineStr">
        <is>
          <t>Шереметьево: такси ~3 ч или аэроэкспресс → Белорусский + метро → Казанский + электричка</t>
        </is>
      </c>
      <c r="M23" s="5" t="inlineStr">
        <is>
          <t>~14:40</t>
        </is>
      </c>
      <c r="N23" s="5" t="inlineStr">
        <is>
          <t>28.10 07:40 (мест.) → 28.10 14:40 МСК</t>
        </is>
      </c>
      <c r="O23" s="20" t="inlineStr">
        <is>
          <t>11 ч 00 мин</t>
        </is>
      </c>
      <c r="P23" s="5" t="inlineStr"/>
      <c r="Q23" s="21" t="inlineStr">
        <is>
          <t>https://avia.tutu.ru/</t>
        </is>
      </c>
      <c r="R23" s="5" t="inlineStr">
        <is>
          <t>С багажом дешевле S7</t>
        </is>
      </c>
      <c r="S23" s="5" t="inlineStr">
        <is>
          <t>проверить</t>
        </is>
      </c>
    </row>
    <row r="24">
      <c r="A24" s="5" t="inlineStr">
        <is>
          <t>Абакан</t>
        </is>
      </c>
      <c r="B24" s="5" t="n">
        <v>1</v>
      </c>
      <c r="C24" s="7" t="inlineStr">
        <is>
          <t>Обратно</t>
        </is>
      </c>
      <c r="D24" s="7" t="inlineStr">
        <is>
          <t>Самый дешёвый = Удобный</t>
        </is>
      </c>
      <c r="E24" s="7" t="inlineStr">
        <is>
          <t>Самолёт, Аэрофлот</t>
        </is>
      </c>
      <c r="F24" s="7" t="inlineStr">
        <is>
          <t>SU-1478</t>
        </is>
      </c>
      <c r="G24" s="5" t="inlineStr">
        <is>
          <t>31.10 23:55</t>
        </is>
      </c>
      <c r="H24" s="5" t="inlineStr">
        <is>
          <t>01.11 (мест.)</t>
        </is>
      </c>
      <c r="I24" s="5" t="inlineStr">
        <is>
          <t>Шереметьево</t>
        </is>
      </c>
      <c r="J24" s="6" t="n">
        <v>21247</v>
      </c>
      <c r="K24" s="6" t="n">
        <v>25201</v>
      </c>
      <c r="L24" s="5" t="inlineStr">
        <is>
          <t>31.10 днём: электричка + аэроэкспресс или такси ~2 ч 30 мин</t>
        </is>
      </c>
      <c r="M24" s="5" t="inlineStr"/>
      <c r="N24" s="5" t="inlineStr">
        <is>
          <t>31.10 19:25 МСК → 01.11 09:55 (мест.)</t>
        </is>
      </c>
      <c r="O24" s="20" t="inlineStr">
        <is>
          <t>10 ч 30 мин</t>
        </is>
      </c>
      <c r="P24" s="5" t="inlineStr">
        <is>
          <t>+1 ночь 30→31</t>
        </is>
      </c>
      <c r="Q24" s="21" t="inlineStr">
        <is>
          <t>https://avia.tutu.ru/</t>
        </is>
      </c>
      <c r="R24" s="5" t="inlineStr">
        <is>
          <t>Дневных рейсов в Абакан нет (есть только вечерние/ночные). День 31.10 на отдых</t>
        </is>
      </c>
      <c r="S24" s="5" t="inlineStr">
        <is>
          <t>проверить</t>
        </is>
      </c>
    </row>
    <row r="25">
      <c r="A25" s="15" t="inlineStr">
        <is>
          <t>Новокузнецк</t>
        </is>
      </c>
      <c r="B25" s="16" t="n">
        <v>1</v>
      </c>
      <c r="C25" s="17" t="inlineStr">
        <is>
          <t>Туда</t>
        </is>
      </c>
      <c r="D25" s="17" t="inlineStr">
        <is>
          <t>Самый дешёвый = Удобный</t>
        </is>
      </c>
      <c r="E25" s="17" t="inlineStr">
        <is>
          <t>Самолёт, S7</t>
        </is>
      </c>
      <c r="F25" s="17" t="inlineStr">
        <is>
          <t>S7-2626</t>
        </is>
      </c>
      <c r="G25" s="16" t="inlineStr">
        <is>
          <t>28.10 09:00 (мест.)</t>
        </is>
      </c>
      <c r="H25" s="16" t="inlineStr">
        <is>
          <t>28.10 10:00</t>
        </is>
      </c>
      <c r="I25" s="16" t="inlineStr">
        <is>
          <t>Домодедово</t>
        </is>
      </c>
      <c r="J25" s="18" t="n">
        <v>14784</v>
      </c>
      <c r="K25" s="18" t="n">
        <v>20644</v>
      </c>
      <c r="L25" s="16" t="inlineStr">
        <is>
          <t>Домодедово: такси 1 ч 45 мин + 40 мин на выход (группа 2–4 чел.)</t>
        </is>
      </c>
      <c r="M25" s="16" t="inlineStr">
        <is>
          <t>~12:25</t>
        </is>
      </c>
      <c r="N25" s="16" t="inlineStr">
        <is>
          <t>28.10 06:45 (мест.) → 28.10 12:25 МСК</t>
        </is>
      </c>
      <c r="O25" s="15" t="inlineStr">
        <is>
          <t>9 ч 40 мин</t>
        </is>
      </c>
      <c r="P25" s="16" t="inlineStr"/>
      <c r="Q25" s="19" t="inlineStr">
        <is>
          <t>https://avia.tutu.ru/</t>
        </is>
      </c>
      <c r="R25" s="16" t="inlineStr"/>
      <c r="S25" s="16" t="inlineStr">
        <is>
          <t>проверить</t>
        </is>
      </c>
    </row>
    <row r="26">
      <c r="A26" s="5" t="inlineStr">
        <is>
          <t>Новокузнецк</t>
        </is>
      </c>
      <c r="B26" s="5" t="n">
        <v>1</v>
      </c>
      <c r="C26" s="7" t="inlineStr">
        <is>
          <t>Обратно</t>
        </is>
      </c>
      <c r="D26" s="7" t="inlineStr">
        <is>
          <t>Самый дешёвый</t>
        </is>
      </c>
      <c r="E26" s="7" t="inlineStr">
        <is>
          <t>Самолёт, S7</t>
        </is>
      </c>
      <c r="F26" s="7" t="inlineStr">
        <is>
          <t>S7-2625</t>
        </is>
      </c>
      <c r="G26" s="5" t="inlineStr">
        <is>
          <t>30.10 23:35</t>
        </is>
      </c>
      <c r="H26" s="5" t="inlineStr">
        <is>
          <t>31.10 (мест.)</t>
        </is>
      </c>
      <c r="I26" s="5" t="inlineStr">
        <is>
          <t>Домодедово</t>
        </is>
      </c>
      <c r="J26" s="6" t="n">
        <v>14784</v>
      </c>
      <c r="K26" s="6" t="n">
        <v>20644</v>
      </c>
      <c r="L26" s="5" t="inlineStr">
        <is>
          <t>Выезд из гостиницы 18:15; в аэропорту за 2 ч до вылета</t>
        </is>
      </c>
      <c r="M26" s="5" t="inlineStr"/>
      <c r="N26" s="5" t="inlineStr">
        <is>
          <t>30.10 18:15 МСК → 31.10 09:00 (мест.)</t>
        </is>
      </c>
      <c r="O26" s="20" t="inlineStr">
        <is>
          <t>10 ч 45 мин</t>
        </is>
      </c>
      <c r="P26" s="5" t="inlineStr"/>
      <c r="Q26" s="21" t="inlineStr">
        <is>
          <t>https://avia.tutu.ru/</t>
        </is>
      </c>
      <c r="R26" s="5" t="inlineStr">
        <is>
          <t>Ночной рейс сразу после конференции</t>
        </is>
      </c>
      <c r="S26" s="5" t="inlineStr"/>
    </row>
    <row r="27">
      <c r="A27" s="5" t="inlineStr">
        <is>
          <t>Новокузнецк</t>
        </is>
      </c>
      <c r="B27" s="5" t="n">
        <v>1</v>
      </c>
      <c r="C27" s="10" t="inlineStr">
        <is>
          <t>Обратно</t>
        </is>
      </c>
      <c r="D27" s="10" t="inlineStr">
        <is>
          <t>Удобный</t>
        </is>
      </c>
      <c r="E27" s="10" t="inlineStr">
        <is>
          <t>Самолёт, Аэрофлот</t>
        </is>
      </c>
      <c r="F27" s="10" t="inlineStr">
        <is>
          <t>SU-1458</t>
        </is>
      </c>
      <c r="G27" s="5" t="inlineStr">
        <is>
          <t>31.10 22:35</t>
        </is>
      </c>
      <c r="H27" s="5" t="inlineStr">
        <is>
          <t>01.11 (мест.)</t>
        </is>
      </c>
      <c r="I27" s="5" t="inlineStr">
        <is>
          <t>Шереметьево</t>
        </is>
      </c>
      <c r="J27" s="9" t="n">
        <v>14806</v>
      </c>
      <c r="K27" s="9" t="n">
        <v>18619</v>
      </c>
      <c r="L27" s="5" t="inlineStr">
        <is>
          <t>31.10 днём: электричка + аэроэкспресс или такси ~2 ч 30 мин</t>
        </is>
      </c>
      <c r="M27" s="5" t="inlineStr"/>
      <c r="N27" s="5" t="inlineStr">
        <is>
          <t>31.10 18:05 МСК → 01.11 08:00 (мест.)</t>
        </is>
      </c>
      <c r="O27" s="20" t="inlineStr">
        <is>
          <t>9 ч 55 мин</t>
        </is>
      </c>
      <c r="P27" s="5" t="inlineStr">
        <is>
          <t>+1 ночь 30→31</t>
        </is>
      </c>
      <c r="Q27" s="21" t="inlineStr">
        <is>
          <t>https://avia.tutu.ru/</t>
        </is>
      </c>
      <c r="R27" s="5" t="inlineStr">
        <is>
          <t>Дневных рейсов нет. День 31.10 на отдых, вечерний вылет</t>
        </is>
      </c>
      <c r="S27" s="5" t="inlineStr">
        <is>
          <t>проверить</t>
        </is>
      </c>
    </row>
    <row r="28">
      <c r="A28" s="15" t="inlineStr">
        <is>
          <t>Иркутск</t>
        </is>
      </c>
      <c r="B28" s="16" t="n">
        <v>5</v>
      </c>
      <c r="C28" s="17" t="inlineStr">
        <is>
          <t>Туда</t>
        </is>
      </c>
      <c r="D28" s="17" t="inlineStr">
        <is>
          <t>Самый дешёвый</t>
        </is>
      </c>
      <c r="E28" s="17" t="inlineStr">
        <is>
          <t>Самолёт, Уральские авиалинии</t>
        </is>
      </c>
      <c r="F28" s="17" t="inlineStr">
        <is>
          <t>U6-106</t>
        </is>
      </c>
      <c r="G28" s="16" t="inlineStr">
        <is>
          <t>28.10 07:35 (мест.)</t>
        </is>
      </c>
      <c r="H28" s="16" t="inlineStr">
        <is>
          <t>28.10 09:10</t>
        </is>
      </c>
      <c r="I28" s="16" t="inlineStr">
        <is>
          <t>Домодедово</t>
        </is>
      </c>
      <c r="J28" s="18" t="n">
        <v>12305</v>
      </c>
      <c r="K28" s="18" t="n">
        <v>15862</v>
      </c>
      <c r="L28" s="16" t="inlineStr">
        <is>
          <t>Домодедово: такси 1 ч 45 мин + 40 мин на выход (группа 2–4 чел.) — минивэн на 5 чел.</t>
        </is>
      </c>
      <c r="M28" s="16" t="inlineStr">
        <is>
          <t>~11:35</t>
        </is>
      </c>
      <c r="N28" s="16" t="inlineStr">
        <is>
          <t>28.10 04:35 (мест.) → 28.10 11:35 МСК</t>
        </is>
      </c>
      <c r="O28" s="15" t="inlineStr">
        <is>
          <t>12 ч 00 мин</t>
        </is>
      </c>
      <c r="P28" s="16" t="inlineStr"/>
      <c r="Q28" s="19" t="inlineStr">
        <is>
          <t>https://avia.tutu.ru/</t>
        </is>
      </c>
      <c r="R28" s="16" t="inlineStr">
        <is>
          <t>Цена за 1 человека</t>
        </is>
      </c>
      <c r="S28" s="16" t="inlineStr">
        <is>
          <t>проверить</t>
        </is>
      </c>
    </row>
    <row r="29">
      <c r="A29" s="5" t="inlineStr">
        <is>
          <t>Иркутск</t>
        </is>
      </c>
      <c r="B29" s="5" t="n">
        <v>5</v>
      </c>
      <c r="C29" s="10" t="inlineStr">
        <is>
          <t>Туда</t>
        </is>
      </c>
      <c r="D29" s="10" t="inlineStr">
        <is>
          <t>Удобный</t>
        </is>
      </c>
      <c r="E29" s="10" t="inlineStr">
        <is>
          <t>Самолёт, Аэрофлот</t>
        </is>
      </c>
      <c r="F29" s="10" t="inlineStr">
        <is>
          <t>SU-6732</t>
        </is>
      </c>
      <c r="G29" s="5" t="inlineStr">
        <is>
          <t>28.10 11:05 (мест.)</t>
        </is>
      </c>
      <c r="H29" s="5" t="inlineStr">
        <is>
          <t>28.10 12:25</t>
        </is>
      </c>
      <c r="I29" s="5" t="inlineStr">
        <is>
          <t>Шереметьево</t>
        </is>
      </c>
      <c r="J29" s="9" t="n">
        <v>13727</v>
      </c>
      <c r="K29" s="9" t="n">
        <v>17607</v>
      </c>
      <c r="L29" s="5" t="inlineStr">
        <is>
          <t>Минивэн ~3 ч</t>
        </is>
      </c>
      <c r="M29" s="5" t="inlineStr">
        <is>
          <t>~16:05</t>
        </is>
      </c>
      <c r="N29" s="5" t="inlineStr">
        <is>
          <t>28.10 08:05 (мест.) → 28.10 16:05 МСК</t>
        </is>
      </c>
      <c r="O29" s="20" t="inlineStr">
        <is>
          <t>13 ч 00 мин</t>
        </is>
      </c>
      <c r="P29" s="5" t="inlineStr"/>
      <c r="Q29" s="21" t="inlineStr">
        <is>
          <t>https://avia.tutu.ru/</t>
        </is>
      </c>
      <c r="R29" s="5" t="inlineStr">
        <is>
          <t>Вылет днём</t>
        </is>
      </c>
      <c r="S29" s="5" t="inlineStr"/>
    </row>
    <row r="30">
      <c r="A30" s="5" t="inlineStr">
        <is>
          <t>Иркутск</t>
        </is>
      </c>
      <c r="B30" s="5" t="n">
        <v>5</v>
      </c>
      <c r="C30" s="7" t="inlineStr">
        <is>
          <t>Обратно</t>
        </is>
      </c>
      <c r="D30" s="7" t="inlineStr">
        <is>
          <t>Самый дешёвый</t>
        </is>
      </c>
      <c r="E30" s="7" t="inlineStr">
        <is>
          <t>Самолёт, Уральские авиалинии</t>
        </is>
      </c>
      <c r="F30" s="7" t="inlineStr">
        <is>
          <t>U6-105</t>
        </is>
      </c>
      <c r="G30" s="5" t="inlineStr">
        <is>
          <t>31.10 19:25</t>
        </is>
      </c>
      <c r="H30" s="5" t="inlineStr">
        <is>
          <t>01.11 (мест.)</t>
        </is>
      </c>
      <c r="I30" s="5" t="inlineStr">
        <is>
          <t>Домодедово</t>
        </is>
      </c>
      <c r="J30" s="6" t="n">
        <v>12308</v>
      </c>
      <c r="K30" s="6" t="n">
        <v>15879</v>
      </c>
      <c r="L30" s="5" t="inlineStr">
        <is>
          <t>31.10: минивэн до Домодедово</t>
        </is>
      </c>
      <c r="M30" s="5" t="inlineStr"/>
      <c r="N30" s="5" t="inlineStr">
        <is>
          <t>31.10 15:55 МСК → 01.11 07:40 (мест.)</t>
        </is>
      </c>
      <c r="O30" s="20" t="inlineStr">
        <is>
          <t>10 ч 45 мин</t>
        </is>
      </c>
      <c r="P30" s="5" t="inlineStr">
        <is>
          <t>+1 ночь 30→31</t>
        </is>
      </c>
      <c r="Q30" s="21" t="inlineStr">
        <is>
          <t>https://avia.tutu.ru/</t>
        </is>
      </c>
      <c r="R30" s="5" t="inlineStr">
        <is>
          <t>Ночной перелёт</t>
        </is>
      </c>
      <c r="S30" s="5" t="inlineStr">
        <is>
          <t>проверить</t>
        </is>
      </c>
    </row>
    <row r="31">
      <c r="A31" s="5" t="inlineStr">
        <is>
          <t>Иркутск</t>
        </is>
      </c>
      <c r="B31" s="5" t="n">
        <v>5</v>
      </c>
      <c r="C31" s="10" t="inlineStr">
        <is>
          <t>Обратно</t>
        </is>
      </c>
      <c r="D31" s="10" t="inlineStr">
        <is>
          <t>Удобный</t>
        </is>
      </c>
      <c r="E31" s="10" t="inlineStr">
        <is>
          <t>Самолёт, S7</t>
        </is>
      </c>
      <c r="F31" s="10" t="inlineStr">
        <is>
          <t>S7-3021</t>
        </is>
      </c>
      <c r="G31" s="5" t="inlineStr">
        <is>
          <t>31.10 12:05</t>
        </is>
      </c>
      <c r="H31" s="5" t="inlineStr">
        <is>
          <t>31.10 вечер (мест.)</t>
        </is>
      </c>
      <c r="I31" s="5" t="inlineStr">
        <is>
          <t>Домодедово</t>
        </is>
      </c>
      <c r="J31" s="9" t="n">
        <v>13005</v>
      </c>
      <c r="K31" s="9" t="n">
        <v>19332</v>
      </c>
      <c r="L31" s="5" t="inlineStr">
        <is>
          <t>31.10 утро: такси до Домодедово ~1 ч 30 мин, минивэн</t>
        </is>
      </c>
      <c r="M31" s="5" t="inlineStr"/>
      <c r="N31" s="5" t="inlineStr">
        <is>
          <t>31.10 08:35 МСК → 01.11 00:20 (мест.)</t>
        </is>
      </c>
      <c r="O31" s="20" t="inlineStr">
        <is>
          <t>10 ч 45 мин</t>
        </is>
      </c>
      <c r="P31" s="5" t="inlineStr">
        <is>
          <t>+1 ночь 30→31</t>
        </is>
      </c>
      <c r="Q31" s="21" t="inlineStr">
        <is>
          <t>https://avia.tutu.ru/</t>
        </is>
      </c>
      <c r="R31" s="5" t="inlineStr">
        <is>
          <t>Дома вечером 31.10</t>
        </is>
      </c>
      <c r="S31" s="5" t="inlineStr">
        <is>
          <t>проверить</t>
        </is>
      </c>
    </row>
    <row r="32">
      <c r="A32" s="15" t="inlineStr">
        <is>
          <t>Улан-Удэ</t>
        </is>
      </c>
      <c r="B32" s="16" t="n">
        <v>1</v>
      </c>
      <c r="C32" s="17" t="inlineStr">
        <is>
          <t>Туда</t>
        </is>
      </c>
      <c r="D32" s="17" t="inlineStr">
        <is>
          <t>Самый дешёвый = Удобный</t>
        </is>
      </c>
      <c r="E32" s="17" t="inlineStr">
        <is>
          <t>Самолёт, Аэрофлот</t>
        </is>
      </c>
      <c r="F32" s="17" t="inlineStr">
        <is>
          <t>SU-1455</t>
        </is>
      </c>
      <c r="G32" s="16" t="inlineStr">
        <is>
          <t>28.10 10:05 (мест.)</t>
        </is>
      </c>
      <c r="H32" s="16" t="inlineStr">
        <is>
          <t>28.10 11:45</t>
        </is>
      </c>
      <c r="I32" s="16" t="inlineStr">
        <is>
          <t>Шереметьево</t>
        </is>
      </c>
      <c r="J32" s="18" t="n">
        <v>16931</v>
      </c>
      <c r="K32" s="18" t="n">
        <v>21094</v>
      </c>
      <c r="L32" s="16" t="inlineStr">
        <is>
          <t>Шереметьево: такси ~3 ч или аэроэкспресс → Белорусский + метро → Казанский + электричка</t>
        </is>
      </c>
      <c r="M32" s="16" t="inlineStr">
        <is>
          <t>~15:25</t>
        </is>
      </c>
      <c r="N32" s="16" t="inlineStr">
        <is>
          <t>28.10 07:50 (мест.) → 28.10 15:25 МСК</t>
        </is>
      </c>
      <c r="O32" s="15" t="inlineStr">
        <is>
          <t>12 ч 35 мин</t>
        </is>
      </c>
      <c r="P32" s="16" t="inlineStr"/>
      <c r="Q32" s="19" t="inlineStr">
        <is>
          <t>https://avia.tutu.ru/</t>
        </is>
      </c>
      <c r="R32" s="16" t="inlineStr"/>
      <c r="S32" s="16" t="inlineStr">
        <is>
          <t>проверить</t>
        </is>
      </c>
    </row>
    <row r="33">
      <c r="A33" s="5" t="inlineStr">
        <is>
          <t>Улан-Удэ</t>
        </is>
      </c>
      <c r="B33" s="5" t="n">
        <v>1</v>
      </c>
      <c r="C33" s="7" t="inlineStr">
        <is>
          <t>Обратно</t>
        </is>
      </c>
      <c r="D33" s="7" t="inlineStr">
        <is>
          <t>Самый дешёвый</t>
        </is>
      </c>
      <c r="E33" s="7" t="inlineStr">
        <is>
          <t>Самолёт, S7</t>
        </is>
      </c>
      <c r="F33" s="7" t="inlineStr">
        <is>
          <t>S7-3033</t>
        </is>
      </c>
      <c r="G33" s="5" t="inlineStr">
        <is>
          <t>30.10 22:20</t>
        </is>
      </c>
      <c r="H33" s="5" t="inlineStr">
        <is>
          <t>31.10 (мест.)</t>
        </is>
      </c>
      <c r="I33" s="5" t="inlineStr">
        <is>
          <t>Домодедово</t>
        </is>
      </c>
      <c r="J33" s="6" t="n">
        <v>21098</v>
      </c>
      <c r="K33" s="6" t="n">
        <v>28884</v>
      </c>
      <c r="L33" s="5" t="inlineStr">
        <is>
          <t>Выезд из гостиницы 18:15; в аэропорту за 2 ч до вылета</t>
        </is>
      </c>
      <c r="M33" s="5" t="inlineStr"/>
      <c r="N33" s="5" t="inlineStr">
        <is>
          <t>30.10 18:15 МСК → 31.10 10:35 (мест.)</t>
        </is>
      </c>
      <c r="O33" s="20" t="inlineStr">
        <is>
          <t>11 ч 20 мин</t>
        </is>
      </c>
      <c r="P33" s="5" t="inlineStr"/>
      <c r="Q33" s="21" t="inlineStr">
        <is>
          <t>https://avia.tutu.ru/</t>
        </is>
      </c>
      <c r="R33" s="5" t="inlineStr">
        <is>
          <t>Ночной рейс сразу после конференции</t>
        </is>
      </c>
      <c r="S33" s="5" t="inlineStr"/>
    </row>
    <row r="34">
      <c r="A34" s="5" t="inlineStr">
        <is>
          <t>Улан-Удэ</t>
        </is>
      </c>
      <c r="B34" s="5" t="n">
        <v>1</v>
      </c>
      <c r="C34" s="10" t="inlineStr">
        <is>
          <t>Обратно</t>
        </is>
      </c>
      <c r="D34" s="10" t="inlineStr">
        <is>
          <t>Удобный</t>
        </is>
      </c>
      <c r="E34" s="10" t="inlineStr">
        <is>
          <t>Самолёт, Аэрофлот</t>
        </is>
      </c>
      <c r="F34" s="10" t="inlineStr">
        <is>
          <t>SU-1454</t>
        </is>
      </c>
      <c r="G34" s="5" t="inlineStr">
        <is>
          <t>31.10 21:55</t>
        </is>
      </c>
      <c r="H34" s="5" t="inlineStr">
        <is>
          <t>01.11 утро (мест.)</t>
        </is>
      </c>
      <c r="I34" s="5" t="inlineStr">
        <is>
          <t>Шереметьево</t>
        </is>
      </c>
      <c r="J34" s="9" t="n">
        <v>16931</v>
      </c>
      <c r="K34" s="9" t="n">
        <v>21094</v>
      </c>
      <c r="L34" s="5" t="inlineStr">
        <is>
          <t>31.10 днём: электричка + аэроэкспресс или такси ~2 ч 30 мин</t>
        </is>
      </c>
      <c r="M34" s="5" t="inlineStr"/>
      <c r="N34" s="5" t="inlineStr">
        <is>
          <t>31.10 17:25 МСК → 01.11 10:00 (мест.)</t>
        </is>
      </c>
      <c r="O34" s="20" t="inlineStr">
        <is>
          <t>11 ч 35 мин</t>
        </is>
      </c>
      <c r="P34" s="5" t="inlineStr">
        <is>
          <t>+1 ночь 30→31</t>
        </is>
      </c>
      <c r="Q34" s="21" t="inlineStr">
        <is>
          <t>https://avia.tutu.ru/</t>
        </is>
      </c>
      <c r="R34" s="5" t="inlineStr">
        <is>
          <t>Дневных рейсов нет. День 31.10 на отдых; прилёт утром</t>
        </is>
      </c>
      <c r="S34" s="5" t="inlineStr">
        <is>
          <t>проверить</t>
        </is>
      </c>
    </row>
    <row r="35">
      <c r="A35" s="15" t="inlineStr">
        <is>
          <t>Чита</t>
        </is>
      </c>
      <c r="B35" s="16" t="n">
        <v>1</v>
      </c>
      <c r="C35" s="17" t="inlineStr">
        <is>
          <t>Туда</t>
        </is>
      </c>
      <c r="D35" s="17" t="inlineStr">
        <is>
          <t>Самый дешёвый</t>
        </is>
      </c>
      <c r="E35" s="17" t="inlineStr">
        <is>
          <t>Самолёт, S7 (пересадка Иркутск)</t>
        </is>
      </c>
      <c r="F35" s="17" t="inlineStr">
        <is>
          <t>S7-6426 + S7-3018</t>
        </is>
      </c>
      <c r="G35" s="16" t="inlineStr">
        <is>
          <t>28.10 03:20 (мест.)</t>
        </is>
      </c>
      <c r="H35" s="16" t="inlineStr">
        <is>
          <t>28.10 10:55</t>
        </is>
      </c>
      <c r="I35" s="16" t="inlineStr">
        <is>
          <t>Домодедово</t>
        </is>
      </c>
      <c r="J35" s="18" t="n">
        <v>17671</v>
      </c>
      <c r="K35" s="18" t="n">
        <v>25050</v>
      </c>
      <c r="L35" s="16" t="inlineStr">
        <is>
          <t>Домодедово: такси 1 ч 45 мин + 40 мин на выход (группа 2–4 чел.)</t>
        </is>
      </c>
      <c r="M35" s="16" t="inlineStr">
        <is>
          <t>~13:20</t>
        </is>
      </c>
      <c r="N35" s="16" t="inlineStr">
        <is>
          <t>28.10 01:05 (мест.) → 28.10 13:20 МСК</t>
        </is>
      </c>
      <c r="O35" s="15" t="inlineStr">
        <is>
          <t>18 ч 15 мин</t>
        </is>
      </c>
      <c r="P35" s="16" t="inlineStr"/>
      <c r="Q35" s="19" t="inlineStr">
        <is>
          <t>https://avia.tutu.ru/f/Chita/Moskva/?class=Y&amp;travelers=1&amp;route[0]=100-28102026-491</t>
        </is>
      </c>
      <c r="R35" s="16" t="inlineStr">
        <is>
          <t>Ночной вылет</t>
        </is>
      </c>
      <c r="S35" s="16" t="inlineStr">
        <is>
          <t>проверить</t>
        </is>
      </c>
    </row>
    <row r="36">
      <c r="A36" s="5" t="inlineStr">
        <is>
          <t>Чита</t>
        </is>
      </c>
      <c r="B36" s="5" t="n">
        <v>1</v>
      </c>
      <c r="C36" s="10" t="inlineStr">
        <is>
          <t>Туда</t>
        </is>
      </c>
      <c r="D36" s="10" t="inlineStr">
        <is>
          <t>Удобный</t>
        </is>
      </c>
      <c r="E36" s="10" t="inlineStr">
        <is>
          <t>Самолёт, Уральские авиалинии, прямой</t>
        </is>
      </c>
      <c r="F36" s="10" t="inlineStr">
        <is>
          <t>U6-94</t>
        </is>
      </c>
      <c r="G36" s="5" t="inlineStr">
        <is>
          <t>28.10 09:20 (мест.)</t>
        </is>
      </c>
      <c r="H36" s="5" t="inlineStr">
        <is>
          <t>28.10 10:20</t>
        </is>
      </c>
      <c r="I36" s="5" t="inlineStr">
        <is>
          <t>Домодедово</t>
        </is>
      </c>
      <c r="J36" s="9" t="n">
        <v>22835</v>
      </c>
      <c r="K36" s="9" t="n">
        <v>28993</v>
      </c>
      <c r="L36" s="5" t="inlineStr">
        <is>
          <t>Домодедово: такси 1 ч 45 мин + 40 мин на выход (группа 2–4 чел.)</t>
        </is>
      </c>
      <c r="M36" s="5" t="inlineStr">
        <is>
          <t>~12:45</t>
        </is>
      </c>
      <c r="N36" s="5" t="inlineStr">
        <is>
          <t>28.10 07:05 (мест.) → 28.10 12:45 МСК</t>
        </is>
      </c>
      <c r="O36" s="20" t="inlineStr">
        <is>
          <t>11 ч 40 мин</t>
        </is>
      </c>
      <c r="P36" s="5" t="inlineStr"/>
      <c r="Q36" s="21" t="inlineStr">
        <is>
          <t>https://avia.tutu.ru/f/Chita/Moskva/?class=Y&amp;travelers=1&amp;route[0]=100-28102026-491</t>
        </is>
      </c>
      <c r="R36" s="5" t="inlineStr">
        <is>
          <t>Прямой рейс днём</t>
        </is>
      </c>
      <c r="S36" s="5" t="inlineStr">
        <is>
          <t>проверить</t>
        </is>
      </c>
    </row>
    <row r="37">
      <c r="A37" s="5" t="inlineStr">
        <is>
          <t>Чита</t>
        </is>
      </c>
      <c r="B37" s="5" t="n">
        <v>1</v>
      </c>
      <c r="C37" s="7" t="inlineStr">
        <is>
          <t>Обратно</t>
        </is>
      </c>
      <c r="D37" s="7" t="inlineStr">
        <is>
          <t>Самый дешёвый = Удобный</t>
        </is>
      </c>
      <c r="E37" s="7" t="inlineStr">
        <is>
          <t>Самолёт, Уральские авиалинии</t>
        </is>
      </c>
      <c r="F37" s="7" t="inlineStr">
        <is>
          <t>U6-93</t>
        </is>
      </c>
      <c r="G37" s="5" t="inlineStr">
        <is>
          <t>31.10 19:40</t>
        </is>
      </c>
      <c r="H37" s="5" t="inlineStr">
        <is>
          <t>01.11 (мест.)</t>
        </is>
      </c>
      <c r="I37" s="5" t="inlineStr">
        <is>
          <t>Домодедово</t>
        </is>
      </c>
      <c r="J37" s="6" t="n">
        <v>22835</v>
      </c>
      <c r="K37" s="6" t="n">
        <v>28993</v>
      </c>
      <c r="L37" s="5" t="inlineStr">
        <is>
          <t>31.10: такси до Домодедово</t>
        </is>
      </c>
      <c r="M37" s="5" t="inlineStr"/>
      <c r="N37" s="5" t="inlineStr">
        <is>
          <t>31.10 16:10 МСК → 01.11 09:05 (мест.)</t>
        </is>
      </c>
      <c r="O37" s="20" t="inlineStr">
        <is>
          <t>10 ч 55 мин</t>
        </is>
      </c>
      <c r="P37" s="5" t="inlineStr">
        <is>
          <t>+1 ночь 30→31</t>
        </is>
      </c>
      <c r="Q37" s="21" t="inlineStr">
        <is>
          <t>https://avia.tutu.ru/f/Moskva/Chita/?class=Y&amp;travelers=1&amp;route[0]=491-31102026-100</t>
        </is>
      </c>
      <c r="R37" s="5" t="inlineStr">
        <is>
          <t>Дневных рейсов нет; вылет вечером после отдыха</t>
        </is>
      </c>
      <c r="S37" s="5" t="inlineStr">
        <is>
          <t>проверить</t>
        </is>
      </c>
    </row>
    <row r="38">
      <c r="A38" s="15" t="inlineStr">
        <is>
          <t>Самара</t>
        </is>
      </c>
      <c r="B38" s="16" t="n">
        <v>1</v>
      </c>
      <c r="C38" s="17" t="inlineStr">
        <is>
          <t>Туда (27.10)</t>
        </is>
      </c>
      <c r="D38" s="17" t="inlineStr">
        <is>
          <t>Самый дешёвый</t>
        </is>
      </c>
      <c r="E38" s="17" t="inlineStr">
        <is>
          <t>Поезд, купе</t>
        </is>
      </c>
      <c r="F38" s="17" t="inlineStr">
        <is>
          <t>015М</t>
        </is>
      </c>
      <c r="G38" s="16" t="inlineStr">
        <is>
          <t>27.10 15:41</t>
        </is>
      </c>
      <c r="H38" s="16" t="inlineStr">
        <is>
          <t>28.10 05:40</t>
        </is>
      </c>
      <c r="I38" s="16" t="inlineStr">
        <is>
          <t>Москва, Казанский</t>
        </is>
      </c>
      <c r="J38" s="18" t="n">
        <v>3594</v>
      </c>
      <c r="K38" s="18" t="n">
        <v>3594</v>
      </c>
      <c r="L38" s="16" t="inlineStr">
        <is>
          <t>Казанский вокзал → электричка до ст. Коломна (490–620 ₽) + такси 10 мин (~300 ₽) (07:22 → 09:15)</t>
        </is>
      </c>
      <c r="M38" s="16" t="inlineStr">
        <is>
          <t>~09:30</t>
        </is>
      </c>
      <c r="N38" s="16" t="inlineStr">
        <is>
          <t>27.10 14:55 (мест.) → 28.10 09:30 МСК</t>
        </is>
      </c>
      <c r="O38" s="15" t="inlineStr">
        <is>
          <t>19 ч 35 мин</t>
        </is>
      </c>
      <c r="P38" s="16" t="inlineStr">
        <is>
          <t>ранний заезд</t>
        </is>
      </c>
      <c r="Q38" s="19" t="inlineStr">
        <is>
          <t>https://www.tutu.ru/poezda/</t>
        </is>
      </c>
      <c r="R38" s="16" t="inlineStr">
        <is>
          <t>Ночь в поезде</t>
        </is>
      </c>
      <c r="S38" s="16" t="inlineStr">
        <is>
          <t>проверить</t>
        </is>
      </c>
    </row>
    <row r="39">
      <c r="A39" s="5" t="inlineStr">
        <is>
          <t>Самара</t>
        </is>
      </c>
      <c r="B39" s="5" t="n">
        <v>1</v>
      </c>
      <c r="C39" s="10" t="inlineStr">
        <is>
          <t>Туда</t>
        </is>
      </c>
      <c r="D39" s="10" t="inlineStr">
        <is>
          <t>Удобный</t>
        </is>
      </c>
      <c r="E39" s="10" t="inlineStr">
        <is>
          <t>Самолёт, Победа</t>
        </is>
      </c>
      <c r="F39" s="10" t="inlineStr">
        <is>
          <t>DP-422</t>
        </is>
      </c>
      <c r="G39" s="5" t="inlineStr">
        <is>
          <t>28.10 14:45 (мест.)</t>
        </is>
      </c>
      <c r="H39" s="5" t="inlineStr">
        <is>
          <t>28.10 15:45</t>
        </is>
      </c>
      <c r="I39" s="5" t="inlineStr">
        <is>
          <t>Внуково</t>
        </is>
      </c>
      <c r="J39" s="9" t="n">
        <v>4644</v>
      </c>
      <c r="K39" s="9" t="n">
        <v>7347</v>
      </c>
      <c r="L39" s="5" t="inlineStr">
        <is>
          <t>Внуково: метро → Казанский вокзал + электричка, или такси ~2 ч 45 мин</t>
        </is>
      </c>
      <c r="M39" s="5" t="inlineStr">
        <is>
          <t>~19:10</t>
        </is>
      </c>
      <c r="N39" s="5" t="inlineStr">
        <is>
          <t>28.10 11:45 (мест.) → 28.10 19:10 МСК</t>
        </is>
      </c>
      <c r="O39" s="20" t="inlineStr">
        <is>
          <t>8 ч 25 мин</t>
        </is>
      </c>
      <c r="P39" s="5" t="inlineStr"/>
      <c r="Q39" s="21" t="inlineStr">
        <is>
          <t>https://avia.tutu.ru/f/Samara/Moskva/?class=Y&amp;travelers=1&amp;route[0]=74-28102026-491</t>
        </is>
      </c>
      <c r="R39" s="5" t="inlineStr">
        <is>
          <t>Для экскурсии: SU-1603 10:25 → SVO 11:15, 6 454 / 9 763</t>
        </is>
      </c>
      <c r="S39" s="5" t="inlineStr">
        <is>
          <t>проверить</t>
        </is>
      </c>
    </row>
    <row r="40">
      <c r="A40" s="5" t="inlineStr">
        <is>
          <t>Самара</t>
        </is>
      </c>
      <c r="B40" s="5" t="n">
        <v>1</v>
      </c>
      <c r="C40" s="7" t="inlineStr">
        <is>
          <t>Обратно</t>
        </is>
      </c>
      <c r="D40" s="7" t="inlineStr">
        <is>
          <t>Самый дешёвый</t>
        </is>
      </c>
      <c r="E40" s="7" t="inlineStr">
        <is>
          <t>Поезд, купе</t>
        </is>
      </c>
      <c r="F40" s="7" t="inlineStr">
        <is>
          <t>014Е</t>
        </is>
      </c>
      <c r="G40" s="5" t="inlineStr">
        <is>
          <t>30.10 21:40</t>
        </is>
      </c>
      <c r="H40" s="5" t="inlineStr">
        <is>
          <t>31.10 12:18</t>
        </is>
      </c>
      <c r="I40" s="5" t="inlineStr">
        <is>
          <t>Москва, Казанский</t>
        </is>
      </c>
      <c r="J40" s="6" t="n">
        <v>6905</v>
      </c>
      <c r="K40" s="6" t="n">
        <v>6905</v>
      </c>
      <c r="L40" s="5" t="inlineStr">
        <is>
          <t>Электричка 18:43 → Казанский 20:47</t>
        </is>
      </c>
      <c r="M40" s="5" t="inlineStr"/>
      <c r="N40" s="5" t="inlineStr">
        <is>
          <t>30.10 18:15 МСК → 31.10 13:05 (мест.)</t>
        </is>
      </c>
      <c r="O40" s="20" t="inlineStr">
        <is>
          <t>17 ч 50 мин</t>
        </is>
      </c>
      <c r="P40" s="5" t="inlineStr"/>
      <c r="Q40" s="21" t="inlineStr">
        <is>
          <t>https://www.tutu.ru/poezda/</t>
        </is>
      </c>
      <c r="R40" s="5" t="inlineStr">
        <is>
          <t>Ночь в поезде</t>
        </is>
      </c>
      <c r="S40" s="5" t="inlineStr"/>
    </row>
    <row r="41">
      <c r="A41" s="5" t="inlineStr">
        <is>
          <t>Самара</t>
        </is>
      </c>
      <c r="B41" s="5" t="n">
        <v>1</v>
      </c>
      <c r="C41" s="10" t="inlineStr">
        <is>
          <t>Обратно</t>
        </is>
      </c>
      <c r="D41" s="10" t="inlineStr">
        <is>
          <t>Удобный</t>
        </is>
      </c>
      <c r="E41" s="10" t="inlineStr">
        <is>
          <t>Самолёт, Победа</t>
        </is>
      </c>
      <c r="F41" s="10" t="inlineStr">
        <is>
          <t>DP-6581</t>
        </is>
      </c>
      <c r="G41" s="5" t="inlineStr">
        <is>
          <t>31.10 14:15</t>
        </is>
      </c>
      <c r="H41" s="5" t="inlineStr">
        <is>
          <t>31.10 17:00 (мест.)</t>
        </is>
      </c>
      <c r="I41" s="5" t="inlineStr">
        <is>
          <t>Шереметьево</t>
        </is>
      </c>
      <c r="J41" s="9" t="n">
        <v>5550</v>
      </c>
      <c r="K41" s="9" t="n">
        <v>8293</v>
      </c>
      <c r="L41" s="5" t="inlineStr">
        <is>
          <t>31.10 днём: электричка + аэроэкспресс или такси ~2 ч 30 мин</t>
        </is>
      </c>
      <c r="M41" s="5" t="inlineStr"/>
      <c r="N41" s="5" t="inlineStr">
        <is>
          <t>31.10 09:45 МСК → 31.10 18:40 (мест.)</t>
        </is>
      </c>
      <c r="O41" s="20" t="inlineStr">
        <is>
          <t>7 ч 55 мин</t>
        </is>
      </c>
      <c r="P41" s="5" t="inlineStr">
        <is>
          <t>+1 ночь 30→31</t>
        </is>
      </c>
      <c r="Q41" s="21" t="inlineStr">
        <is>
          <t>https://avia.tutu.ru/f/Moskva/Samara/?class=Y&amp;travelers=1&amp;route[0]=491-31102026-74</t>
        </is>
      </c>
      <c r="R41" s="5" t="inlineStr">
        <is>
          <t>Также SU-1604 10:10, 6 410 / 9 760</t>
        </is>
      </c>
      <c r="S41" s="5" t="inlineStr">
        <is>
          <t>проверить</t>
        </is>
      </c>
    </row>
    <row r="42">
      <c r="A42" s="15" t="inlineStr">
        <is>
          <t>Саратов</t>
        </is>
      </c>
      <c r="B42" s="16" t="n">
        <v>2</v>
      </c>
      <c r="C42" s="17" t="inlineStr">
        <is>
          <t>Туда (27.10)</t>
        </is>
      </c>
      <c r="D42" s="17" t="inlineStr">
        <is>
          <t>Самый дешёвый</t>
        </is>
      </c>
      <c r="E42" s="17" t="inlineStr">
        <is>
          <t>Поезд, купе (сидячий 2 717)</t>
        </is>
      </c>
      <c r="F42" s="17" t="inlineStr">
        <is>
          <t>135Ж</t>
        </is>
      </c>
      <c r="G42" s="16" t="inlineStr">
        <is>
          <t>27.10 15:20</t>
        </is>
      </c>
      <c r="H42" s="16" t="inlineStr">
        <is>
          <t>28.10 07:22</t>
        </is>
      </c>
      <c r="I42" s="16" t="inlineStr">
        <is>
          <t>Москва, Павелецкий</t>
        </is>
      </c>
      <c r="J42" s="18" t="n">
        <v>4013</v>
      </c>
      <c r="K42" s="18" t="n">
        <v>4013</v>
      </c>
      <c r="L42" s="16" t="inlineStr">
        <is>
          <t>Павелецкий → метро до Комсомольской (~20 мин) → электричка от Казанского + такси (08:47 РЭКС → 10:28)</t>
        </is>
      </c>
      <c r="M42" s="16" t="inlineStr">
        <is>
          <t>~10:45</t>
        </is>
      </c>
      <c r="N42" s="16" t="inlineStr">
        <is>
          <t>27.10 14:35 (мест.) → 28.10 10:45 МСК</t>
        </is>
      </c>
      <c r="O42" s="15" t="inlineStr">
        <is>
          <t>21 ч 10 мин</t>
        </is>
      </c>
      <c r="P42" s="16" t="inlineStr"/>
      <c r="Q42" s="19" t="inlineStr">
        <is>
          <t>https://www.tutu.ru/poezda/</t>
        </is>
      </c>
      <c r="R42" s="16" t="inlineStr">
        <is>
          <t>Ночь в поезде</t>
        </is>
      </c>
      <c r="S42" s="16" t="inlineStr">
        <is>
          <t>проверить</t>
        </is>
      </c>
    </row>
    <row r="43">
      <c r="A43" s="5" t="inlineStr">
        <is>
          <t>Саратов</t>
        </is>
      </c>
      <c r="B43" s="5" t="n">
        <v>2</v>
      </c>
      <c r="C43" s="10" t="inlineStr">
        <is>
          <t>Туда</t>
        </is>
      </c>
      <c r="D43" s="10" t="inlineStr">
        <is>
          <t>Удобный</t>
        </is>
      </c>
      <c r="E43" s="10" t="inlineStr">
        <is>
          <t>Самолёт, Победа</t>
        </is>
      </c>
      <c r="F43" s="10" t="inlineStr">
        <is>
          <t>DP-6864</t>
        </is>
      </c>
      <c r="G43" s="5" t="inlineStr">
        <is>
          <t>28.10 17:30 (мест.)</t>
        </is>
      </c>
      <c r="H43" s="5" t="inlineStr">
        <is>
          <t>28.10 18:20</t>
        </is>
      </c>
      <c r="I43" s="5" t="inlineStr">
        <is>
          <t>Шереметьево</t>
        </is>
      </c>
      <c r="J43" s="9" t="n">
        <v>5658</v>
      </c>
      <c r="K43" s="9" t="n">
        <v>8442</v>
      </c>
      <c r="L43" s="5" t="inlineStr">
        <is>
          <t>Такси ~3 ч, вдвоём</t>
        </is>
      </c>
      <c r="M43" s="5" t="inlineStr">
        <is>
          <t>~22:00</t>
        </is>
      </c>
      <c r="N43" s="5" t="inlineStr">
        <is>
          <t>28.10 15:15 (мест.) → 28.10 22:00 МСК</t>
        </is>
      </c>
      <c r="O43" s="20" t="inlineStr">
        <is>
          <t>7 ч 45 мин</t>
        </is>
      </c>
      <c r="P43" s="5" t="inlineStr"/>
      <c r="Q43" s="21" t="inlineStr">
        <is>
          <t>https://avia.tutu.ru/f/Saratov/Moskva/?class=Y&amp;travelers=1&amp;route[0]=77-28102026-491</t>
        </is>
      </c>
      <c r="R43" s="5" t="inlineStr">
        <is>
          <t>Для экскурсии: SU-1357 11:05 → SVO 11:50, 8 078 / 11 390</t>
        </is>
      </c>
      <c r="S43" s="5" t="inlineStr"/>
    </row>
    <row r="44">
      <c r="A44" s="5" t="inlineStr">
        <is>
          <t>Саратов</t>
        </is>
      </c>
      <c r="B44" s="5" t="n">
        <v>2</v>
      </c>
      <c r="C44" s="7" t="inlineStr">
        <is>
          <t>Обратно</t>
        </is>
      </c>
      <c r="D44" s="7" t="inlineStr">
        <is>
          <t>Самый дешёвый = Удобный</t>
        </is>
      </c>
      <c r="E44" s="7" t="inlineStr">
        <is>
          <t>Самолёт, Победа</t>
        </is>
      </c>
      <c r="F44" s="7" t="inlineStr">
        <is>
          <t>DP-475</t>
        </is>
      </c>
      <c r="G44" s="5" t="inlineStr">
        <is>
          <t>31.10 17:55</t>
        </is>
      </c>
      <c r="H44" s="5" t="inlineStr">
        <is>
          <t>31.10 20:35 (мест.)</t>
        </is>
      </c>
      <c r="I44" s="5" t="inlineStr">
        <is>
          <t>Внуково</t>
        </is>
      </c>
      <c r="J44" s="6" t="n">
        <v>5012</v>
      </c>
      <c r="K44" s="6" t="n">
        <v>7630</v>
      </c>
      <c r="L44" s="5" t="inlineStr">
        <is>
          <t>31.10 днём: такси до Внуково ~2 ч 15 мин или электричка + метро</t>
        </is>
      </c>
      <c r="M44" s="5" t="inlineStr"/>
      <c r="N44" s="5" t="inlineStr">
        <is>
          <t>31.10 13:40 МСК → 31.10 22:00 (мест.)</t>
        </is>
      </c>
      <c r="O44" s="20" t="inlineStr">
        <is>
          <t>7 ч 20 мин</t>
        </is>
      </c>
      <c r="P44" s="5" t="inlineStr">
        <is>
          <t>+1 ночь 30→31</t>
        </is>
      </c>
      <c r="Q44" s="21" t="inlineStr">
        <is>
          <t>https://avia.tutu.ru/f/Moskva/Saratov/?class=Y&amp;travelers=1&amp;route[0]=491-31102026-77</t>
        </is>
      </c>
      <c r="R44" s="5" t="inlineStr">
        <is>
          <t>30.10 уехать нельзя: последний поезд 19:27, рейсы до 18:00</t>
        </is>
      </c>
      <c r="S44" s="5" t="inlineStr">
        <is>
          <t>проверить</t>
        </is>
      </c>
    </row>
    <row r="45">
      <c r="A45" s="15" t="inlineStr">
        <is>
          <t>Казань</t>
        </is>
      </c>
      <c r="B45" s="16" t="n">
        <v>1</v>
      </c>
      <c r="C45" s="17" t="inlineStr">
        <is>
          <t>Туда</t>
        </is>
      </c>
      <c r="D45" s="17" t="inlineStr">
        <is>
          <t>Самый дешёвый</t>
        </is>
      </c>
      <c r="E45" s="17" t="inlineStr">
        <is>
          <t>Самолёт, Nordwind</t>
        </is>
      </c>
      <c r="F45" s="17" t="inlineStr">
        <is>
          <t>N4-64</t>
        </is>
      </c>
      <c r="G45" s="16" t="inlineStr">
        <is>
          <t>28.10 08:05</t>
        </is>
      </c>
      <c r="H45" s="16" t="inlineStr">
        <is>
          <t>28.10 09:45</t>
        </is>
      </c>
      <c r="I45" s="16" t="inlineStr">
        <is>
          <t>Шереметьево</t>
        </is>
      </c>
      <c r="J45" s="18" t="n">
        <v>3265</v>
      </c>
      <c r="K45" s="18" t="n">
        <v>5995</v>
      </c>
      <c r="L45" s="16" t="inlineStr">
        <is>
          <t>Шереметьево: такси ~3 ч или аэроэкспресс → Белорусский + метро → Казанский + электричка</t>
        </is>
      </c>
      <c r="M45" s="16" t="inlineStr">
        <is>
          <t>~13:30</t>
        </is>
      </c>
      <c r="N45" s="16" t="inlineStr">
        <is>
          <t>28.10 05:05 МСК → 28.10 13:30 МСК</t>
        </is>
      </c>
      <c r="O45" s="15" t="inlineStr">
        <is>
          <t>8 ч 25 мин</t>
        </is>
      </c>
      <c r="P45" s="16" t="inlineStr"/>
      <c r="Q45" s="19" t="inlineStr">
        <is>
          <t>https://avia.tutu.ru/f/Kazan/Moskva/?class=Y&amp;travelers=1&amp;route[0]=33-28102026-491</t>
        </is>
      </c>
      <c r="R45" s="16" t="inlineStr">
        <is>
          <t>Дешевле поезда; подъём ~05:30</t>
        </is>
      </c>
      <c r="S45" s="16" t="inlineStr">
        <is>
          <t>проверить</t>
        </is>
      </c>
    </row>
    <row r="46">
      <c r="A46" s="5" t="inlineStr">
        <is>
          <t>Казань</t>
        </is>
      </c>
      <c r="B46" s="5" t="n">
        <v>1</v>
      </c>
      <c r="C46" s="10" t="inlineStr">
        <is>
          <t>Туда</t>
        </is>
      </c>
      <c r="D46" s="10" t="inlineStr">
        <is>
          <t>Удобный</t>
        </is>
      </c>
      <c r="E46" s="10" t="inlineStr">
        <is>
          <t>Самолёт, Nordwind</t>
        </is>
      </c>
      <c r="F46" s="10" t="inlineStr">
        <is>
          <t>N4-60</t>
        </is>
      </c>
      <c r="G46" s="5" t="inlineStr">
        <is>
          <t>28.10 10:10</t>
        </is>
      </c>
      <c r="H46" s="5" t="inlineStr">
        <is>
          <t>28.10 11:55</t>
        </is>
      </c>
      <c r="I46" s="5" t="inlineStr">
        <is>
          <t>Шереметьево</t>
        </is>
      </c>
      <c r="J46" s="9" t="n">
        <v>4078</v>
      </c>
      <c r="K46" s="9" t="n">
        <v>7021</v>
      </c>
      <c r="L46" s="5" t="inlineStr">
        <is>
          <t>Шереметьево: такси ~3 ч или аэроэкспресс → Белорусский + метро → Казанский + электричка</t>
        </is>
      </c>
      <c r="M46" s="5" t="inlineStr">
        <is>
          <t>~15:35</t>
        </is>
      </c>
      <c r="N46" s="5" t="inlineStr">
        <is>
          <t>28.10 07:10 МСК → 28.10 15:35 МСК</t>
        </is>
      </c>
      <c r="O46" s="20" t="inlineStr">
        <is>
          <t>8 ч 25 мин</t>
        </is>
      </c>
      <c r="P46" s="5" t="inlineStr"/>
      <c r="Q46" s="21" t="inlineStr">
        <is>
          <t>https://avia.tutu.ru/f/Kazan/Moskva/?class=Y&amp;travelers=1&amp;route[0]=33-28102026-491</t>
        </is>
      </c>
      <c r="R46" s="5" t="inlineStr">
        <is>
          <t>К экскурсии успевает</t>
        </is>
      </c>
      <c r="S46" s="5" t="inlineStr">
        <is>
          <t>проверить</t>
        </is>
      </c>
    </row>
    <row r="47">
      <c r="A47" s="5" t="inlineStr">
        <is>
          <t>Казань</t>
        </is>
      </c>
      <c r="B47" s="5" t="n">
        <v>1</v>
      </c>
      <c r="C47" s="7" t="inlineStr">
        <is>
          <t>Обратно</t>
        </is>
      </c>
      <c r="D47" s="7" t="inlineStr">
        <is>
          <t>Самый дешёвый</t>
        </is>
      </c>
      <c r="E47" s="7" t="inlineStr">
        <is>
          <t>Поезд, купе</t>
        </is>
      </c>
      <c r="F47" s="7" t="inlineStr">
        <is>
          <t>130Х</t>
        </is>
      </c>
      <c r="G47" s="5" t="inlineStr">
        <is>
          <t>31.10 00:20</t>
        </is>
      </c>
      <c r="H47" s="5" t="inlineStr">
        <is>
          <t>31.10 утро</t>
        </is>
      </c>
      <c r="I47" s="5" t="inlineStr">
        <is>
          <t>Москва, Казанский</t>
        </is>
      </c>
      <c r="J47" s="6" t="n">
        <v>4270</v>
      </c>
      <c r="K47" s="6" t="n">
        <v>4270</v>
      </c>
      <c r="L47" s="5" t="inlineStr">
        <is>
          <t>РЭКС 21:01 → Казанский 22:38</t>
        </is>
      </c>
      <c r="M47" s="5" t="inlineStr"/>
      <c r="N47" s="5" t="inlineStr">
        <is>
          <t>30.10 20:30 МСК → 31.10 13:15 МСК</t>
        </is>
      </c>
      <c r="O47" s="20" t="inlineStr">
        <is>
          <t>16 ч 45 мин</t>
        </is>
      </c>
      <c r="P47" s="5" t="inlineStr"/>
      <c r="Q47" s="21" t="inlineStr">
        <is>
          <t>https://www.tutu.ru/poezda/</t>
        </is>
      </c>
      <c r="R47" s="5" t="inlineStr">
        <is>
          <t>Ночь в поезде</t>
        </is>
      </c>
      <c r="S47" s="5" t="inlineStr"/>
    </row>
    <row r="48">
      <c r="A48" s="5" t="inlineStr">
        <is>
          <t>Казань</t>
        </is>
      </c>
      <c r="B48" s="5" t="n">
        <v>1</v>
      </c>
      <c r="C48" s="10" t="inlineStr">
        <is>
          <t>Обратно</t>
        </is>
      </c>
      <c r="D48" s="10" t="inlineStr">
        <is>
          <t>Удобный</t>
        </is>
      </c>
      <c r="E48" s="10" t="inlineStr">
        <is>
          <t>Самолёт, Победа</t>
        </is>
      </c>
      <c r="F48" s="10" t="inlineStr">
        <is>
          <t>DP-6843</t>
        </is>
      </c>
      <c r="G48" s="5" t="inlineStr">
        <is>
          <t>31.10 17:30</t>
        </is>
      </c>
      <c r="H48" s="5" t="inlineStr">
        <is>
          <t>31.10 19:10</t>
        </is>
      </c>
      <c r="I48" s="5" t="inlineStr">
        <is>
          <t>Шереметьево</t>
        </is>
      </c>
      <c r="J48" s="9" t="n">
        <v>5056</v>
      </c>
      <c r="K48" s="9" t="n">
        <v>7722</v>
      </c>
      <c r="L48" s="5" t="inlineStr">
        <is>
          <t>31.10 днём: электричка + аэроэкспресс или такси ~2 ч 30 мин</t>
        </is>
      </c>
      <c r="M48" s="5" t="inlineStr"/>
      <c r="N48" s="5" t="inlineStr">
        <is>
          <t>31.10 13:00 МСК → 31.10 20:50 МСК</t>
        </is>
      </c>
      <c r="O48" s="20" t="inlineStr">
        <is>
          <t>7 ч 50 мин</t>
        </is>
      </c>
      <c r="P48" s="5" t="inlineStr">
        <is>
          <t>+1 ночь 30→31</t>
        </is>
      </c>
      <c r="Q48" s="21" t="inlineStr">
        <is>
          <t>https://avia.tutu.ru/f/Moskva/Kazan/?class=Y&amp;travelers=1&amp;route[0]=491-31102026-33</t>
        </is>
      </c>
      <c r="R48" s="5" t="inlineStr">
        <is>
          <t>Также N4-63 16:10, 7 323 / 10 492</t>
        </is>
      </c>
      <c r="S48" s="5" t="inlineStr">
        <is>
          <t>проверить</t>
        </is>
      </c>
    </row>
    <row r="49">
      <c r="A49" s="15" t="inlineStr">
        <is>
          <t>Ижевск</t>
        </is>
      </c>
      <c r="B49" s="16" t="n">
        <v>1</v>
      </c>
      <c r="C49" s="17" t="inlineStr">
        <is>
          <t>Туда</t>
        </is>
      </c>
      <c r="D49" s="17" t="inlineStr">
        <is>
          <t>Самый дешёвый = Удобный</t>
        </is>
      </c>
      <c r="E49" s="17" t="inlineStr">
        <is>
          <t>Самолёт, S7</t>
        </is>
      </c>
      <c r="F49" s="17" t="inlineStr">
        <is>
          <t>S7-1166</t>
        </is>
      </c>
      <c r="G49" s="16" t="inlineStr">
        <is>
          <t>28.10 18:55 (мест.)</t>
        </is>
      </c>
      <c r="H49" s="16" t="inlineStr">
        <is>
          <t>28.10 20:05</t>
        </is>
      </c>
      <c r="I49" s="16" t="inlineStr">
        <is>
          <t>Домодедово</t>
        </is>
      </c>
      <c r="J49" s="18" t="n">
        <v>8158</v>
      </c>
      <c r="K49" s="18" t="n">
        <v>11683</v>
      </c>
      <c r="L49" s="16" t="inlineStr">
        <is>
          <t>Домодедово: такси 1 ч 45 мин + 40 мин на выход (группа 2–4 чел.)</t>
        </is>
      </c>
      <c r="M49" s="16" t="inlineStr">
        <is>
          <t>~22:30</t>
        </is>
      </c>
      <c r="N49" s="16" t="inlineStr">
        <is>
          <t>28.10 16:40 (мест.) → 28.10 22:30 МСК</t>
        </is>
      </c>
      <c r="O49" s="15" t="inlineStr">
        <is>
          <t>6 ч 50 мин</t>
        </is>
      </c>
      <c r="P49" s="16" t="inlineStr"/>
      <c r="Q49" s="19" t="inlineStr">
        <is>
          <t>https://avia.tutu.ru/f/Izhevsk/Moskva/?class=Y&amp;travelers=1&amp;route[0]=30-28102026-491</t>
        </is>
      </c>
      <c r="R49" s="16" t="inlineStr">
        <is>
          <t>Без экскурсии. Для экскурсии: SU-1295 10:40 → SVO 11:35, 9 802 / 13 186</t>
        </is>
      </c>
      <c r="S49" s="16" t="inlineStr">
        <is>
          <t>проверить</t>
        </is>
      </c>
    </row>
    <row r="50">
      <c r="A50" s="5" t="inlineStr">
        <is>
          <t>Ижевск</t>
        </is>
      </c>
      <c r="B50" s="5" t="n">
        <v>1</v>
      </c>
      <c r="C50" s="7" t="inlineStr">
        <is>
          <t>Обратно</t>
        </is>
      </c>
      <c r="D50" s="7" t="inlineStr">
        <is>
          <t>Самый дешёвый = Удобный</t>
        </is>
      </c>
      <c r="E50" s="7" t="inlineStr">
        <is>
          <t>Самолёт, S7</t>
        </is>
      </c>
      <c r="F50" s="7" t="inlineStr">
        <is>
          <t>S7-1165</t>
        </is>
      </c>
      <c r="G50" s="5" t="inlineStr">
        <is>
          <t>31.10 15:10</t>
        </is>
      </c>
      <c r="H50" s="5" t="inlineStr">
        <is>
          <t>31.10 18:10 (мест.)</t>
        </is>
      </c>
      <c r="I50" s="5" t="inlineStr">
        <is>
          <t>Домодедово</t>
        </is>
      </c>
      <c r="J50" s="6" t="n">
        <v>8158</v>
      </c>
      <c r="K50" s="6" t="n">
        <v>11683</v>
      </c>
      <c r="L50" s="5" t="inlineStr">
        <is>
          <t>31.10: такси до Домодедово</t>
        </is>
      </c>
      <c r="M50" s="5" t="inlineStr"/>
      <c r="N50" s="5" t="inlineStr">
        <is>
          <t>31.10 11:40 МСК → 31.10 19:35 (мест.)</t>
        </is>
      </c>
      <c r="O50" s="20" t="inlineStr">
        <is>
          <t>6 ч 55 мин</t>
        </is>
      </c>
      <c r="P50" s="5" t="inlineStr">
        <is>
          <t>+1 ночь 30→31</t>
        </is>
      </c>
      <c r="Q50" s="21" t="inlineStr">
        <is>
          <t>https://avia.tutu.ru/f/Moskva/Izhevsk/?class=Y&amp;travelers=1&amp;route[0]=491-31102026-30</t>
        </is>
      </c>
      <c r="R50" s="5" t="inlineStr">
        <is>
          <t>Вечером 30.10 рейсов нет</t>
        </is>
      </c>
      <c r="S50" s="5" t="inlineStr">
        <is>
          <t>проверить</t>
        </is>
      </c>
    </row>
    <row r="51">
      <c r="A51" s="15" t="inlineStr">
        <is>
          <t>Набережные Челны (а/п Бегишево)</t>
        </is>
      </c>
      <c r="B51" s="16" t="n">
        <v>1</v>
      </c>
      <c r="C51" s="17" t="inlineStr">
        <is>
          <t>Туда</t>
        </is>
      </c>
      <c r="D51" s="17" t="inlineStr">
        <is>
          <t>Самый дешёвый = Удобный</t>
        </is>
      </c>
      <c r="E51" s="17" t="inlineStr">
        <is>
          <t>Самолёт, Победа</t>
        </is>
      </c>
      <c r="F51" s="17" t="inlineStr">
        <is>
          <t>DP-6846</t>
        </is>
      </c>
      <c r="G51" s="16" t="inlineStr">
        <is>
          <t>28.10 16:30</t>
        </is>
      </c>
      <c r="H51" s="16" t="inlineStr">
        <is>
          <t>28.10 18:30</t>
        </is>
      </c>
      <c r="I51" s="16" t="inlineStr">
        <is>
          <t>Шереметьево</t>
        </is>
      </c>
      <c r="J51" s="18" t="n">
        <v>4517</v>
      </c>
      <c r="K51" s="18" t="n">
        <v>7237</v>
      </c>
      <c r="L51" s="16" t="inlineStr">
        <is>
          <t>Шереметьево: такси ~3 ч или аэроэкспресс → Белорусский + метро → Казанский + электричка</t>
        </is>
      </c>
      <c r="M51" s="16" t="inlineStr">
        <is>
          <t>~22:10</t>
        </is>
      </c>
      <c r="N51" s="16" t="inlineStr">
        <is>
          <t>28.10 14:15 МСК → 28.10 22:10 МСК</t>
        </is>
      </c>
      <c r="O51" s="15" t="inlineStr">
        <is>
          <t>7 ч 55 мин</t>
        </is>
      </c>
      <c r="P51" s="16" t="inlineStr"/>
      <c r="Q51" s="19" t="inlineStr">
        <is>
          <t>https://avia.tutu.ru/f/Nizhnekamsk/Moskva/?class=Y&amp;travelers=1&amp;route[0]=537-28102026-491</t>
        </is>
      </c>
      <c r="R51" s="16" t="inlineStr">
        <is>
          <t>Без экскурсии. Для экскурсии: SU-6248 09:55, 8 847 / 12 189</t>
        </is>
      </c>
      <c r="S51" s="16" t="inlineStr">
        <is>
          <t>проверить</t>
        </is>
      </c>
    </row>
    <row r="52">
      <c r="A52" s="5" t="inlineStr">
        <is>
          <t>Набережные Челны (а/п Бегишево)</t>
        </is>
      </c>
      <c r="B52" s="5" t="n">
        <v>1</v>
      </c>
      <c r="C52" s="7" t="inlineStr">
        <is>
          <t>Обратно</t>
        </is>
      </c>
      <c r="D52" s="7" t="inlineStr">
        <is>
          <t>Самый дешёвый = Удобный</t>
        </is>
      </c>
      <c r="E52" s="7" t="inlineStr">
        <is>
          <t>Самолёт, Победа</t>
        </is>
      </c>
      <c r="F52" s="7" t="inlineStr">
        <is>
          <t>DP-6845</t>
        </is>
      </c>
      <c r="G52" s="5" t="inlineStr">
        <is>
          <t>31.10 14:10</t>
        </is>
      </c>
      <c r="H52" s="5" t="inlineStr">
        <is>
          <t>31.10 16:00</t>
        </is>
      </c>
      <c r="I52" s="5" t="inlineStr">
        <is>
          <t>Шереметьево</t>
        </is>
      </c>
      <c r="J52" s="6" t="n">
        <v>5056</v>
      </c>
      <c r="K52" s="6" t="n">
        <v>7775</v>
      </c>
      <c r="L52" s="5" t="inlineStr">
        <is>
          <t>31.10 днём: электричка + аэроэкспресс или такси ~2 ч 30 мин</t>
        </is>
      </c>
      <c r="M52" s="5" t="inlineStr"/>
      <c r="N52" s="5" t="inlineStr">
        <is>
          <t>31.10 09:40 МСК → 31.10 17:25 МСК</t>
        </is>
      </c>
      <c r="O52" s="20" t="inlineStr">
        <is>
          <t>7 ч 45 мин</t>
        </is>
      </c>
      <c r="P52" s="5" t="inlineStr">
        <is>
          <t>+1 ночь 30→31</t>
        </is>
      </c>
      <c r="Q52" s="21" t="inlineStr">
        <is>
          <t>https://avia.tutu.ru/f/Moskva/Nizhnekamsk/?class=Y&amp;travelers=1&amp;route[0]=491-31102026-537</t>
        </is>
      </c>
      <c r="R52" s="5" t="inlineStr">
        <is>
          <t>Вечером 30.10 рейсов нет</t>
        </is>
      </c>
      <c r="S52" s="5" t="inlineStr">
        <is>
          <t>проверить</t>
        </is>
      </c>
    </row>
    <row r="53">
      <c r="A53" s="15" t="inlineStr">
        <is>
          <t>Оренбург</t>
        </is>
      </c>
      <c r="B53" s="16" t="n">
        <v>1</v>
      </c>
      <c r="C53" s="17" t="inlineStr">
        <is>
          <t>Туда</t>
        </is>
      </c>
      <c r="D53" s="17" t="inlineStr">
        <is>
          <t>Самый дешёвый = Удобный</t>
        </is>
      </c>
      <c r="E53" s="17" t="inlineStr">
        <is>
          <t>Самолёт, Nordwind</t>
        </is>
      </c>
      <c r="F53" s="17" t="inlineStr">
        <is>
          <t>N4-78</t>
        </is>
      </c>
      <c r="G53" s="16" t="inlineStr">
        <is>
          <t>28.10 18:35 (мест.)</t>
        </is>
      </c>
      <c r="H53" s="16" t="inlineStr">
        <is>
          <t>28.10 18:55</t>
        </is>
      </c>
      <c r="I53" s="16" t="inlineStr">
        <is>
          <t>Шереметьево</t>
        </is>
      </c>
      <c r="J53" s="18" t="n">
        <v>7050</v>
      </c>
      <c r="K53" s="18" t="n">
        <v>9636</v>
      </c>
      <c r="L53" s="16" t="inlineStr">
        <is>
          <t>Шереметьево: такси ~3 ч или аэроэкспресс → Белорусский + метро → Казанский + электричка</t>
        </is>
      </c>
      <c r="M53" s="16" t="inlineStr">
        <is>
          <t>~22:35</t>
        </is>
      </c>
      <c r="N53" s="16" t="inlineStr">
        <is>
          <t>28.10 16:20 (мест.) → 28.10 22:35 МСК</t>
        </is>
      </c>
      <c r="O53" s="15" t="inlineStr">
        <is>
          <t>8 ч 15 мин</t>
        </is>
      </c>
      <c r="P53" s="16" t="inlineStr"/>
      <c r="Q53" s="19" t="inlineStr">
        <is>
          <t>https://avia.tutu.ru/</t>
        </is>
      </c>
      <c r="R53" s="16" t="inlineStr">
        <is>
          <t>Без экскурсии. Для экскурсии: SU-1247 12:20, 11 352 / 14 698</t>
        </is>
      </c>
      <c r="S53" s="16" t="inlineStr">
        <is>
          <t>проверить</t>
        </is>
      </c>
    </row>
    <row r="54">
      <c r="A54" s="5" t="inlineStr">
        <is>
          <t>Оренбург</t>
        </is>
      </c>
      <c r="B54" s="5" t="n">
        <v>1</v>
      </c>
      <c r="C54" s="7" t="inlineStr">
        <is>
          <t>Обратно</t>
        </is>
      </c>
      <c r="D54" s="7" t="inlineStr">
        <is>
          <t>Самый дешёвый</t>
        </is>
      </c>
      <c r="E54" s="7" t="inlineStr">
        <is>
          <t>Самолёт, Северный ветер</t>
        </is>
      </c>
      <c r="F54" s="7" t="inlineStr">
        <is>
          <t>5N-231</t>
        </is>
      </c>
      <c r="G54" s="5" t="inlineStr">
        <is>
          <t>31.10 02:40</t>
        </is>
      </c>
      <c r="H54" s="5" t="inlineStr">
        <is>
          <t>31.10 утро</t>
        </is>
      </c>
      <c r="I54" s="5" t="inlineStr">
        <is>
          <t>Шереметьево</t>
        </is>
      </c>
      <c r="J54" s="6" t="n">
        <v>8429</v>
      </c>
      <c r="K54" s="7" t="n"/>
      <c r="L54" s="5" t="inlineStr">
        <is>
          <t>30.10 вечер: электричка + аэроэкспресс</t>
        </is>
      </c>
      <c r="M54" s="5" t="inlineStr"/>
      <c r="N54" s="5" t="inlineStr">
        <is>
          <t>30.10 19:00 МСК → 31.10 08:10 (мест.)</t>
        </is>
      </c>
      <c r="O54" s="20" t="inlineStr">
        <is>
          <t>11 ч 10 мин</t>
        </is>
      </c>
      <c r="P54" s="5" t="inlineStr"/>
      <c r="Q54" s="21" t="inlineStr">
        <is>
          <t>https://avia.tutu.ru/</t>
        </is>
      </c>
      <c r="R54" s="5" t="inlineStr">
        <is>
          <t>Ночной рейс, гостиница не нужна. Проверить наличие</t>
        </is>
      </c>
      <c r="S54" s="5" t="inlineStr"/>
    </row>
    <row r="55">
      <c r="A55" s="5" t="inlineStr">
        <is>
          <t>Оренбург</t>
        </is>
      </c>
      <c r="B55" s="5" t="n">
        <v>1</v>
      </c>
      <c r="C55" s="10" t="inlineStr">
        <is>
          <t>Обратно</t>
        </is>
      </c>
      <c r="D55" s="10" t="inlineStr">
        <is>
          <t>Удобный</t>
        </is>
      </c>
      <c r="E55" s="10" t="inlineStr">
        <is>
          <t>Самолёт, Аэрофлот</t>
        </is>
      </c>
      <c r="F55" s="10" t="inlineStr">
        <is>
          <t>SU-1248</t>
        </is>
      </c>
      <c r="G55" s="5" t="inlineStr">
        <is>
          <t>31.10 15:30</t>
        </is>
      </c>
      <c r="H55" s="5" t="inlineStr">
        <is>
          <t>31.10 19:45 (мест.)</t>
        </is>
      </c>
      <c r="I55" s="5" t="inlineStr">
        <is>
          <t>Шереметьево</t>
        </is>
      </c>
      <c r="J55" s="9" t="n">
        <v>12697</v>
      </c>
      <c r="K55" s="9" t="n">
        <v>15985</v>
      </c>
      <c r="L55" s="5" t="inlineStr">
        <is>
          <t>31.10 днём: электричка + аэроэкспресс или такси ~2 ч 30 мин</t>
        </is>
      </c>
      <c r="M55" s="5" t="inlineStr"/>
      <c r="N55" s="5" t="inlineStr">
        <is>
          <t>31.10 11:00 МСК → 31.10 21:10 (мест.)</t>
        </is>
      </c>
      <c r="O55" s="20" t="inlineStr">
        <is>
          <t>8 ч 10 мин</t>
        </is>
      </c>
      <c r="P55" s="5" t="inlineStr">
        <is>
          <t>+1 ночь 30→31</t>
        </is>
      </c>
      <c r="Q55" s="21" t="inlineStr">
        <is>
          <t>https://avia.tutu.ru/</t>
        </is>
      </c>
      <c r="R55" s="5" t="inlineStr"/>
      <c r="S55" s="5" t="inlineStr">
        <is>
          <t>проверить</t>
        </is>
      </c>
    </row>
    <row r="56">
      <c r="A56" s="15" t="inlineStr">
        <is>
          <t>Ульяновск</t>
        </is>
      </c>
      <c r="B56" s="16" t="n">
        <v>2</v>
      </c>
      <c r="C56" s="17" t="inlineStr">
        <is>
          <t>Туда</t>
        </is>
      </c>
      <c r="D56" s="17" t="inlineStr">
        <is>
          <t>Самый дешёвый = Удобный</t>
        </is>
      </c>
      <c r="E56" s="17" t="inlineStr">
        <is>
          <t>Самолёт, Победа</t>
        </is>
      </c>
      <c r="F56" s="17" t="inlineStr">
        <is>
          <t>DP-466</t>
        </is>
      </c>
      <c r="G56" s="16" t="inlineStr">
        <is>
          <t>28.10 11:10 (мест.)</t>
        </is>
      </c>
      <c r="H56" s="16" t="inlineStr">
        <is>
          <t>28.10 11:50</t>
        </is>
      </c>
      <c r="I56" s="16" t="inlineStr">
        <is>
          <t>Внуково</t>
        </is>
      </c>
      <c r="J56" s="18" t="n">
        <v>4938</v>
      </c>
      <c r="K56" s="18" t="n">
        <v>7618</v>
      </c>
      <c r="L56" s="16" t="inlineStr">
        <is>
          <t>Внуково: метро → Казанский вокзал + электричка, или такси ~2 ч 45 мин (вдвоём — такси)</t>
        </is>
      </c>
      <c r="M56" s="16" t="inlineStr">
        <is>
          <t>~15:15</t>
        </is>
      </c>
      <c r="N56" s="16" t="inlineStr">
        <is>
          <t>28.10 08:55 (мест.) → 28.10 15:15 МСК</t>
        </is>
      </c>
      <c r="O56" s="15" t="inlineStr">
        <is>
          <t>7 ч 20 мин</t>
        </is>
      </c>
      <c r="P56" s="16" t="inlineStr"/>
      <c r="Q56" s="19" t="inlineStr">
        <is>
          <t>https://avia.tutu.ru/f/Ulyanovsk/Moskva/?class=Y&amp;travelers=1&amp;route[0]=88-28102026-491</t>
        </is>
      </c>
      <c r="R56" s="16" t="inlineStr">
        <is>
          <t>К экскурсии успевают</t>
        </is>
      </c>
      <c r="S56" s="16" t="inlineStr">
        <is>
          <t>проверить</t>
        </is>
      </c>
    </row>
    <row r="57">
      <c r="A57" s="5" t="inlineStr">
        <is>
          <t>Ульяновск</t>
        </is>
      </c>
      <c r="B57" s="5" t="n">
        <v>2</v>
      </c>
      <c r="C57" s="7" t="inlineStr">
        <is>
          <t>Обратно</t>
        </is>
      </c>
      <c r="D57" s="7" t="inlineStr">
        <is>
          <t>Самый дешёвый = Удобный</t>
        </is>
      </c>
      <c r="E57" s="7" t="inlineStr">
        <is>
          <t>Самолёт, Победа</t>
        </is>
      </c>
      <c r="F57" s="7" t="inlineStr">
        <is>
          <t>DP-485</t>
        </is>
      </c>
      <c r="G57" s="5" t="inlineStr">
        <is>
          <t>31.10 19:35</t>
        </is>
      </c>
      <c r="H57" s="5" t="inlineStr">
        <is>
          <t>31.10 22:15 (мест.)</t>
        </is>
      </c>
      <c r="I57" s="5" t="inlineStr">
        <is>
          <t>Внуково</t>
        </is>
      </c>
      <c r="J57" s="6" t="n">
        <v>5628</v>
      </c>
      <c r="K57" s="6" t="n">
        <v>8367</v>
      </c>
      <c r="L57" s="5" t="inlineStr">
        <is>
          <t>31.10 днём: такси до Внуково ~2 ч 15 мин или электричка + метро</t>
        </is>
      </c>
      <c r="M57" s="5" t="inlineStr"/>
      <c r="N57" s="5" t="inlineStr">
        <is>
          <t>31.10 15:20 МСК → 31.10 23:40 (мест.)</t>
        </is>
      </c>
      <c r="O57" s="20" t="inlineStr">
        <is>
          <t>7 ч 20 мин</t>
        </is>
      </c>
      <c r="P57" s="5" t="inlineStr">
        <is>
          <t>+1 ночь 30→31</t>
        </is>
      </c>
      <c r="Q57" s="21" t="inlineStr">
        <is>
          <t>https://avia.tutu.ru/f/Moskva/Ulyanovsk/?class=Y&amp;travelers=1&amp;route[0]=491-31102026-88</t>
        </is>
      </c>
      <c r="R57" s="5" t="inlineStr">
        <is>
          <t>30.10 уехать нельзя</t>
        </is>
      </c>
      <c r="S57" s="5" t="inlineStr">
        <is>
          <t>проверить</t>
        </is>
      </c>
    </row>
    <row r="58">
      <c r="A58" s="15" t="inlineStr">
        <is>
          <t>Чебоксары</t>
        </is>
      </c>
      <c r="B58" s="16" t="n">
        <v>1</v>
      </c>
      <c r="C58" s="17" t="inlineStr">
        <is>
          <t>Туда</t>
        </is>
      </c>
      <c r="D58" s="17" t="inlineStr">
        <is>
          <t>Самый дешёвый = Удобный</t>
        </is>
      </c>
      <c r="E58" s="17" t="inlineStr">
        <is>
          <t>Самолёт, Победа</t>
        </is>
      </c>
      <c r="F58" s="17" t="inlineStr">
        <is>
          <t>DP-6808</t>
        </is>
      </c>
      <c r="G58" s="16" t="inlineStr">
        <is>
          <t>28.10 10:10</t>
        </is>
      </c>
      <c r="H58" s="16" t="inlineStr">
        <is>
          <t>28.10 11:45</t>
        </is>
      </c>
      <c r="I58" s="16" t="inlineStr">
        <is>
          <t>Шереметьево</t>
        </is>
      </c>
      <c r="J58" s="18" t="n">
        <v>4214</v>
      </c>
      <c r="K58" s="18" t="n">
        <v>6754</v>
      </c>
      <c r="L58" s="16" t="inlineStr">
        <is>
          <t>Шереметьево: такси ~3 ч или аэроэкспресс → Белорусский + метро → Казанский + электричка</t>
        </is>
      </c>
      <c r="M58" s="16" t="inlineStr">
        <is>
          <t>~15:30</t>
        </is>
      </c>
      <c r="N58" s="16" t="inlineStr">
        <is>
          <t>28.10 07:55 МСК → 28.10 15:30 МСК</t>
        </is>
      </c>
      <c r="O58" s="15" t="inlineStr">
        <is>
          <t>7 ч 35 мин</t>
        </is>
      </c>
      <c r="P58" s="16" t="inlineStr"/>
      <c r="Q58" s="19" t="inlineStr">
        <is>
          <t>https://avia.tutu.ru/f/Cheboksary/Moskva/?class=Y&amp;travelers=1&amp;route[0]=97-28102026-491</t>
        </is>
      </c>
      <c r="R58" s="16" t="inlineStr">
        <is>
          <t>Дешевле поезда, к экскурсии успевает</t>
        </is>
      </c>
      <c r="S58" s="16" t="inlineStr">
        <is>
          <t>проверить</t>
        </is>
      </c>
    </row>
    <row r="59">
      <c r="A59" s="5" t="inlineStr">
        <is>
          <t>Чебоксары</t>
        </is>
      </c>
      <c r="B59" s="5" t="n">
        <v>1</v>
      </c>
      <c r="C59" s="7" t="inlineStr">
        <is>
          <t>Обратно</t>
        </is>
      </c>
      <c r="D59" s="7" t="inlineStr">
        <is>
          <t>Самый дешёвый</t>
        </is>
      </c>
      <c r="E59" s="7" t="inlineStr">
        <is>
          <t>Поезд, купе</t>
        </is>
      </c>
      <c r="F59" s="7" t="inlineStr">
        <is>
          <t>072Г</t>
        </is>
      </c>
      <c r="G59" s="5" t="inlineStr">
        <is>
          <t>31.10 00:10</t>
        </is>
      </c>
      <c r="H59" s="5" t="inlineStr">
        <is>
          <t>31.10 днём</t>
        </is>
      </c>
      <c r="I59" s="5" t="inlineStr">
        <is>
          <t>Москва, Казанский</t>
        </is>
      </c>
      <c r="J59" s="6" t="n">
        <v>3884</v>
      </c>
      <c r="K59" s="6" t="n">
        <v>3884</v>
      </c>
      <c r="L59" s="5" t="inlineStr">
        <is>
          <t>Электричка 20:10 → 22:30 или РЭКС 21:01 → 22:38</t>
        </is>
      </c>
      <c r="M59" s="5" t="inlineStr"/>
      <c r="N59" s="5" t="inlineStr">
        <is>
          <t>30.10 19:40 МСК → 31.10 12:45 МСК</t>
        </is>
      </c>
      <c r="O59" s="20" t="inlineStr">
        <is>
          <t>17 ч 05 мин</t>
        </is>
      </c>
      <c r="P59" s="5" t="inlineStr"/>
      <c r="Q59" s="21" t="inlineStr">
        <is>
          <t>https://www.tutu.ru/poezda/</t>
        </is>
      </c>
      <c r="R59" s="5" t="inlineStr">
        <is>
          <t>Ночь в поезде</t>
        </is>
      </c>
      <c r="S59" s="5" t="inlineStr"/>
    </row>
    <row r="60">
      <c r="A60" s="5" t="inlineStr">
        <is>
          <t>Чебоксары</t>
        </is>
      </c>
      <c r="B60" s="5" t="n">
        <v>1</v>
      </c>
      <c r="C60" s="10" t="inlineStr">
        <is>
          <t>Обратно</t>
        </is>
      </c>
      <c r="D60" s="10" t="inlineStr">
        <is>
          <t>Удобный</t>
        </is>
      </c>
      <c r="E60" s="10" t="inlineStr">
        <is>
          <t>Самолёт, Победа</t>
        </is>
      </c>
      <c r="F60" s="10" t="inlineStr">
        <is>
          <t>DP-6815</t>
        </is>
      </c>
      <c r="G60" s="5" t="inlineStr">
        <is>
          <t>31.10 19:30</t>
        </is>
      </c>
      <c r="H60" s="5" t="inlineStr">
        <is>
          <t>31.10 20:55</t>
        </is>
      </c>
      <c r="I60" s="5" t="inlineStr">
        <is>
          <t>Шереметьево</t>
        </is>
      </c>
      <c r="J60" s="9" t="n">
        <v>4214</v>
      </c>
      <c r="K60" s="9" t="n">
        <v>6754</v>
      </c>
      <c r="L60" s="5" t="inlineStr">
        <is>
          <t>31.10 днём: электричка + аэроэкспресс или такси ~2 ч 30 мин</t>
        </is>
      </c>
      <c r="M60" s="5" t="inlineStr"/>
      <c r="N60" s="5" t="inlineStr">
        <is>
          <t>31.10 15:00 МСК → 31.10 22:20 МСК</t>
        </is>
      </c>
      <c r="O60" s="20" t="inlineStr">
        <is>
          <t>7 ч 20 мин</t>
        </is>
      </c>
      <c r="P60" s="5" t="inlineStr">
        <is>
          <t>+1 ночь 30→31</t>
        </is>
      </c>
      <c r="Q60" s="21" t="inlineStr">
        <is>
          <t>https://avia.tutu.ru/f/Moskva/Cheboksary/?class=Y&amp;travelers=1&amp;route[0]=491-31102026-97</t>
        </is>
      </c>
      <c r="R60" s="5" t="inlineStr">
        <is>
          <t>Также SU-1586 16:25, 6 582 / 9 919</t>
        </is>
      </c>
      <c r="S60" s="5" t="inlineStr">
        <is>
          <t>проверить</t>
        </is>
      </c>
    </row>
    <row r="61">
      <c r="A61" s="15" t="inlineStr">
        <is>
          <t>Астрахань</t>
        </is>
      </c>
      <c r="B61" s="16" t="n">
        <v>1</v>
      </c>
      <c r="C61" s="17" t="inlineStr">
        <is>
          <t>Туда</t>
        </is>
      </c>
      <c r="D61" s="17" t="inlineStr">
        <is>
          <t>Самый дешёвый = Удобный</t>
        </is>
      </c>
      <c r="E61" s="17" t="inlineStr">
        <is>
          <t>Самолёт, Победа</t>
        </is>
      </c>
      <c r="F61" s="17" t="inlineStr">
        <is>
          <t>DP-6962</t>
        </is>
      </c>
      <c r="G61" s="16" t="inlineStr">
        <is>
          <t>28.10 12:00 (мест.)</t>
        </is>
      </c>
      <c r="H61" s="16" t="inlineStr">
        <is>
          <t>28.10 13:45</t>
        </is>
      </c>
      <c r="I61" s="16" t="inlineStr">
        <is>
          <t>Шереметьево</t>
        </is>
      </c>
      <c r="J61" s="18" t="n">
        <v>7124</v>
      </c>
      <c r="K61" s="18" t="n">
        <v>9710</v>
      </c>
      <c r="L61" s="16" t="inlineStr">
        <is>
          <t>Шереметьево: такси ~3 ч или аэроэкспресс → Белорусский + метро → Казанский + электричка</t>
        </is>
      </c>
      <c r="M61" s="16" t="inlineStr">
        <is>
          <t>~17:25</t>
        </is>
      </c>
      <c r="N61" s="16" t="inlineStr">
        <is>
          <t>28.10 09:45 (мест.) → 28.10 17:25 МСК</t>
        </is>
      </c>
      <c r="O61" s="15" t="inlineStr">
        <is>
          <t>8 ч 40 мин</t>
        </is>
      </c>
      <c r="P61" s="16" t="inlineStr"/>
      <c r="Q61" s="19" t="inlineStr">
        <is>
          <t>https://avia.tutu.ru/f/Astrakhan/Moskva/?class=Y&amp;travelers=1&amp;route[0]=12-28102026-491</t>
        </is>
      </c>
      <c r="R61" s="16" t="inlineStr"/>
      <c r="S61" s="16" t="inlineStr">
        <is>
          <t>проверить</t>
        </is>
      </c>
    </row>
    <row r="62">
      <c r="A62" s="5" t="inlineStr">
        <is>
          <t>Астрахань</t>
        </is>
      </c>
      <c r="B62" s="5" t="n">
        <v>1</v>
      </c>
      <c r="C62" s="7" t="inlineStr">
        <is>
          <t>Обратно</t>
        </is>
      </c>
      <c r="D62" s="7" t="inlineStr">
        <is>
          <t>Самый дешёвый = Удобный</t>
        </is>
      </c>
      <c r="E62" s="7" t="inlineStr">
        <is>
          <t>Самолёт, Победа</t>
        </is>
      </c>
      <c r="F62" s="7" t="inlineStr">
        <is>
          <t>DP-6963</t>
        </is>
      </c>
      <c r="G62" s="5" t="inlineStr">
        <is>
          <t>31.10 13:50</t>
        </is>
      </c>
      <c r="H62" s="5" t="inlineStr">
        <is>
          <t>31.10 17:30 (мест.)</t>
        </is>
      </c>
      <c r="I62" s="5" t="inlineStr">
        <is>
          <t>Шереметьево</t>
        </is>
      </c>
      <c r="J62" s="6" t="n">
        <v>7124</v>
      </c>
      <c r="K62" s="6" t="n">
        <v>9710</v>
      </c>
      <c r="L62" s="5" t="inlineStr">
        <is>
          <t>31.10 днём: электричка + аэроэкспресс или такси ~2 ч 30 мин</t>
        </is>
      </c>
      <c r="M62" s="5" t="inlineStr"/>
      <c r="N62" s="5" t="inlineStr">
        <is>
          <t>31.10 09:20 МСК → 31.10 18:55 (мест.)</t>
        </is>
      </c>
      <c r="O62" s="20" t="inlineStr">
        <is>
          <t>8 ч 35 мин</t>
        </is>
      </c>
      <c r="P62" s="5" t="inlineStr">
        <is>
          <t>+1 ночь 30→31</t>
        </is>
      </c>
      <c r="Q62" s="21" t="inlineStr">
        <is>
          <t>https://avia.tutu.ru/f/Moskva/Astrakhan/?class=Y&amp;travelers=1&amp;route[0]=491-31102026-12</t>
        </is>
      </c>
      <c r="R62" s="5" t="inlineStr">
        <is>
          <t>Вечером 30.10 подходящих рейсов нет</t>
        </is>
      </c>
      <c r="S62" s="5" t="inlineStr">
        <is>
          <t>проверить</t>
        </is>
      </c>
    </row>
    <row r="63">
      <c r="A63" s="15" t="inlineStr">
        <is>
          <t>Волгоград</t>
        </is>
      </c>
      <c r="B63" s="16" t="n">
        <v>1</v>
      </c>
      <c r="C63" s="17" t="inlineStr">
        <is>
          <t>Туда</t>
        </is>
      </c>
      <c r="D63" s="17" t="inlineStr">
        <is>
          <t>Самый дешёвый = Удобный</t>
        </is>
      </c>
      <c r="E63" s="17" t="inlineStr">
        <is>
          <t>Самолёт, Победа</t>
        </is>
      </c>
      <c r="F63" s="17" t="inlineStr">
        <is>
          <t>DP-6966</t>
        </is>
      </c>
      <c r="G63" s="16" t="inlineStr">
        <is>
          <t>28.10 10:10</t>
        </is>
      </c>
      <c r="H63" s="16" t="inlineStr">
        <is>
          <t>28.10 12:10</t>
        </is>
      </c>
      <c r="I63" s="16" t="inlineStr">
        <is>
          <t>Шереметьево</t>
        </is>
      </c>
      <c r="J63" s="18" t="n">
        <v>6406</v>
      </c>
      <c r="K63" s="18" t="n">
        <v>9061</v>
      </c>
      <c r="L63" s="16" t="inlineStr">
        <is>
          <t>Шереметьево: такси ~3 ч или аэроэкспресс → Белорусский + метро → Казанский + электричка</t>
        </is>
      </c>
      <c r="M63" s="16" t="inlineStr">
        <is>
          <t>~15:50</t>
        </is>
      </c>
      <c r="N63" s="16" t="inlineStr">
        <is>
          <t>28.10 07:10 МСК → 28.10 15:50 МСК</t>
        </is>
      </c>
      <c r="O63" s="15" t="inlineStr">
        <is>
          <t>8 ч 40 мин</t>
        </is>
      </c>
      <c r="P63" s="16" t="inlineStr"/>
      <c r="Q63" s="19" t="inlineStr">
        <is>
          <t>https://avia.tutu.ru/f/Volgograd/Moskva/?class=Y&amp;travelers=1&amp;route[0]=23-28102026-491</t>
        </is>
      </c>
      <c r="R63" s="16" t="inlineStr">
        <is>
          <t>Дешевле ночного поезда (6 615)</t>
        </is>
      </c>
      <c r="S63" s="16" t="inlineStr">
        <is>
          <t>проверить</t>
        </is>
      </c>
    </row>
    <row r="64">
      <c r="A64" s="5" t="inlineStr">
        <is>
          <t>Волгоград</t>
        </is>
      </c>
      <c r="B64" s="5" t="n">
        <v>1</v>
      </c>
      <c r="C64" s="7" t="inlineStr">
        <is>
          <t>Обратно</t>
        </is>
      </c>
      <c r="D64" s="7" t="inlineStr">
        <is>
          <t>Самый дешёвый = Удобный</t>
        </is>
      </c>
      <c r="E64" s="7" t="inlineStr">
        <is>
          <t>Самолёт, Победа</t>
        </is>
      </c>
      <c r="F64" s="7" t="inlineStr">
        <is>
          <t>DP-6969</t>
        </is>
      </c>
      <c r="G64" s="5" t="inlineStr">
        <is>
          <t>31.10 18:35</t>
        </is>
      </c>
      <c r="H64" s="5" t="inlineStr">
        <is>
          <t>31.10 20:35</t>
        </is>
      </c>
      <c r="I64" s="5" t="inlineStr">
        <is>
          <t>Шереметьево</t>
        </is>
      </c>
      <c r="J64" s="6" t="n">
        <v>7155</v>
      </c>
      <c r="K64" s="6" t="n">
        <v>9893</v>
      </c>
      <c r="L64" s="5" t="inlineStr">
        <is>
          <t>31.10 днём: электричка + аэроэкспресс или такси ~2 ч 30 мин</t>
        </is>
      </c>
      <c r="M64" s="5" t="inlineStr"/>
      <c r="N64" s="5" t="inlineStr">
        <is>
          <t>31.10 14:05 МСК → 31.10 22:15 МСК</t>
        </is>
      </c>
      <c r="O64" s="20" t="inlineStr">
        <is>
          <t>8 ч 10 мин</t>
        </is>
      </c>
      <c r="P64" s="5" t="inlineStr">
        <is>
          <t>+1 ночь 30→31</t>
        </is>
      </c>
      <c r="Q64" s="21" t="inlineStr">
        <is>
          <t>https://avia.tutu.ru/f/Moskva/Volgograd/?class=Y&amp;travelers=1&amp;route[0]=491-31102026-23</t>
        </is>
      </c>
      <c r="R64" s="5" t="inlineStr">
        <is>
          <t>30.10 уехать нельзя. Также S7-2143 DME 11:05, 9 889 / 13 255</t>
        </is>
      </c>
      <c r="S64" s="5" t="inlineStr">
        <is>
          <t>проверить</t>
        </is>
      </c>
    </row>
    <row r="65">
      <c r="A65" s="15" t="inlineStr">
        <is>
          <t>Белгород</t>
        </is>
      </c>
      <c r="B65" s="16" t="n">
        <v>1</v>
      </c>
      <c r="C65" s="17" t="inlineStr">
        <is>
          <t>Туда</t>
        </is>
      </c>
      <c r="D65" s="17" t="inlineStr">
        <is>
          <t>Самый дешёвый = Удобный</t>
        </is>
      </c>
      <c r="E65" s="17" t="inlineStr">
        <is>
          <t>Ласточка, сидячий</t>
        </is>
      </c>
      <c r="F65" s="17" t="inlineStr">
        <is>
          <t>746В</t>
        </is>
      </c>
      <c r="G65" s="16" t="inlineStr">
        <is>
          <t>28.10 07:32</t>
        </is>
      </c>
      <c r="H65" s="16" t="inlineStr">
        <is>
          <t>28.10 14:37</t>
        </is>
      </c>
      <c r="I65" s="16" t="inlineStr">
        <is>
          <t>Москва, Курский</t>
        </is>
      </c>
      <c r="J65" s="18" t="n">
        <v>2739</v>
      </c>
      <c r="K65" s="18" t="n">
        <v>2739</v>
      </c>
      <c r="L65" s="16" t="inlineStr">
        <is>
          <t>Курский → Казанский ~30 мин → электричка + такси</t>
        </is>
      </c>
      <c r="M65" s="16" t="inlineStr">
        <is>
          <t>~17:40</t>
        </is>
      </c>
      <c r="N65" s="16" t="inlineStr">
        <is>
          <t>28.10 06:45 МСК → 28.10 17:40 МСК</t>
        </is>
      </c>
      <c r="O65" s="15" t="inlineStr">
        <is>
          <t>10 ч 55 мин</t>
        </is>
      </c>
      <c r="P65" s="16" t="inlineStr"/>
      <c r="Q65" s="19" t="inlineStr">
        <is>
          <t>https://www.tutu.ru/poezda/rasp_d.php?date=28.10.2026&amp;nnst1=2014370&amp;nnst2=2000000</t>
        </is>
      </c>
      <c r="R65" s="16" t="inlineStr">
        <is>
          <t>~650 км — больше лимита для машины</t>
        </is>
      </c>
      <c r="S65" s="16" t="inlineStr">
        <is>
          <t>проверить</t>
        </is>
      </c>
    </row>
    <row r="66">
      <c r="A66" s="5" t="inlineStr">
        <is>
          <t>Белгород</t>
        </is>
      </c>
      <c r="B66" s="5" t="n">
        <v>1</v>
      </c>
      <c r="C66" s="7" t="inlineStr">
        <is>
          <t>Обратно</t>
        </is>
      </c>
      <c r="D66" s="7" t="inlineStr">
        <is>
          <t>Самый дешёвый</t>
        </is>
      </c>
      <c r="E66" s="7" t="inlineStr">
        <is>
          <t>Поезд, купе</t>
        </is>
      </c>
      <c r="F66" s="7" t="inlineStr">
        <is>
          <t>057Щ</t>
        </is>
      </c>
      <c r="G66" s="5" t="inlineStr">
        <is>
          <t>30.10 22:40</t>
        </is>
      </c>
      <c r="H66" s="5" t="inlineStr">
        <is>
          <t>31.10 14:30</t>
        </is>
      </c>
      <c r="I66" s="5" t="inlineStr">
        <is>
          <t>Белгород</t>
        </is>
      </c>
      <c r="J66" s="6" t="n">
        <v>3947</v>
      </c>
      <c r="K66" s="6" t="n">
        <v>3947</v>
      </c>
      <c r="L66" s="5" t="inlineStr">
        <is>
          <t>Электричка 18:43 → 20:47, метро до Павелецкого</t>
        </is>
      </c>
      <c r="M66" s="5" t="inlineStr"/>
      <c r="N66" s="5" t="inlineStr">
        <is>
          <t>30.10 18:15 МСК → 31.10 15:15 МСК</t>
        </is>
      </c>
      <c r="O66" s="20" t="inlineStr">
        <is>
          <t>21 ч 00 мин</t>
        </is>
      </c>
      <c r="P66" s="5" t="inlineStr"/>
      <c r="Q66" s="21" t="inlineStr">
        <is>
          <t>https://www.tutu.ru/poezda/rasp_d.php?date=30.10.2026&amp;nnst1=2000000&amp;nnst2=2014370</t>
        </is>
      </c>
      <c r="R66" s="5" t="inlineStr">
        <is>
          <t>Ночь в поезде</t>
        </is>
      </c>
      <c r="S66" s="5" t="inlineStr"/>
    </row>
    <row r="67">
      <c r="A67" s="5" t="inlineStr">
        <is>
          <t>Белгород</t>
        </is>
      </c>
      <c r="B67" s="5" t="n">
        <v>1</v>
      </c>
      <c r="C67" s="10" t="inlineStr">
        <is>
          <t>Обратно</t>
        </is>
      </c>
      <c r="D67" s="10" t="inlineStr">
        <is>
          <t>Удобный</t>
        </is>
      </c>
      <c r="E67" s="10" t="inlineStr">
        <is>
          <t>Ласточка, сидячий</t>
        </is>
      </c>
      <c r="F67" s="10" t="inlineStr">
        <is>
          <t>741А</t>
        </is>
      </c>
      <c r="G67" s="5" t="inlineStr">
        <is>
          <t>31.10 11:46</t>
        </is>
      </c>
      <c r="H67" s="5" t="inlineStr">
        <is>
          <t>31.10 19:06</t>
        </is>
      </c>
      <c r="I67" s="5" t="inlineStr">
        <is>
          <t>Белгород</t>
        </is>
      </c>
      <c r="J67" s="9" t="n">
        <v>2674</v>
      </c>
      <c r="K67" s="9" t="n">
        <v>2674</v>
      </c>
      <c r="L67" s="5" t="inlineStr">
        <is>
          <t>31.10 утро: электричка до Москвы + метро до Курского</t>
        </is>
      </c>
      <c r="M67" s="5" t="inlineStr"/>
      <c r="N67" s="5" t="inlineStr">
        <is>
          <t>31.10 08:45 МСК → 31.10 19:50 МСК</t>
        </is>
      </c>
      <c r="O67" s="20" t="inlineStr">
        <is>
          <t>11 ч 05 мин</t>
        </is>
      </c>
      <c r="P67" s="5" t="inlineStr">
        <is>
          <t>+1 ночь 30→31</t>
        </is>
      </c>
      <c r="Q67" s="21" t="inlineStr">
        <is>
          <t>https://www.tutu.ru/poezda/rasp_d.php?date=31.10.2026&amp;nnst1=2000000&amp;nnst2=2014370</t>
        </is>
      </c>
      <c r="R67" s="5" t="inlineStr">
        <is>
          <t>Днём, без ночи в дороге</t>
        </is>
      </c>
      <c r="S67" s="5" t="inlineStr"/>
    </row>
    <row r="68">
      <c r="A68" s="15" t="inlineStr">
        <is>
          <t>Донецк (ДНР)</t>
        </is>
      </c>
      <c r="B68" s="16" t="n">
        <v>1</v>
      </c>
      <c r="C68" s="17" t="inlineStr">
        <is>
          <t>Туда (27.10)</t>
        </is>
      </c>
      <c r="D68" s="17" t="inlineStr">
        <is>
          <t>Самый дешёвый</t>
        </is>
      </c>
      <c r="E68" s="17" t="inlineStr">
        <is>
          <t>Автобус (сидячее место)</t>
        </is>
      </c>
      <c r="F68" s="17" t="inlineStr">
        <is>
          <t>рейс ~09:15–12:00</t>
        </is>
      </c>
      <c r="G68" s="16" t="inlineStr">
        <is>
          <t>27.10 ~09:15–12:00</t>
        </is>
      </c>
      <c r="H68" s="16" t="inlineStr">
        <is>
          <t>28.10 06:00–07:00</t>
        </is>
      </c>
      <c r="I68" s="16" t="inlineStr">
        <is>
          <t>Москва, АС «Новоясеневская»</t>
        </is>
      </c>
      <c r="J68" s="18" t="n">
        <v>3500</v>
      </c>
      <c r="K68" s="18" t="n">
        <v>3500</v>
      </c>
      <c r="L68" s="16" t="inlineStr">
        <is>
          <t>Метро до Комсомольской → электричка 08:47 РЭКС / 09:48 → такси</t>
        </is>
      </c>
      <c r="M68" s="16" t="inlineStr">
        <is>
          <t>~11:00–12:00</t>
        </is>
      </c>
      <c r="N68" s="16" t="inlineStr">
        <is>
          <t>27.10 08:30 МСК → 28.10 11:30 МСК</t>
        </is>
      </c>
      <c r="O68" s="15" t="inlineStr">
        <is>
          <t>27 ч 00 мин</t>
        </is>
      </c>
      <c r="P68" s="16" t="inlineStr"/>
      <c r="Q68" s="19" t="inlineStr">
        <is>
          <t>https://vekspress-bus.ru/marshrutyi/doneczk-moskva.html</t>
        </is>
      </c>
      <c r="R68" s="16" t="inlineStr">
        <is>
          <t>~20 ч в автобусе, ночь сидя. Многие рейсы через день — уточнить</t>
        </is>
      </c>
      <c r="S68" s="16" t="inlineStr">
        <is>
          <t>проверить</t>
        </is>
      </c>
    </row>
    <row r="69">
      <c r="A69" s="5" t="inlineStr">
        <is>
          <t>Донецк (ДНР)</t>
        </is>
      </c>
      <c r="B69" s="5" t="n">
        <v>1</v>
      </c>
      <c r="C69" s="10" t="inlineStr">
        <is>
          <t>Туда (27.10)</t>
        </is>
      </c>
      <c r="D69" s="10" t="inlineStr">
        <is>
          <t>Удобный</t>
        </is>
      </c>
      <c r="E69" s="10" t="inlineStr">
        <is>
          <t>Автобус/такси до Ростова + поезд «Ингушетия», купе</t>
        </is>
      </c>
      <c r="F69" s="10" t="inlineStr">
        <is>
          <t>145С</t>
        </is>
      </c>
      <c r="G69" s="5" t="inlineStr">
        <is>
          <t>27.10 ~06:00 из Донецка; поезд 10:30</t>
        </is>
      </c>
      <c r="H69" s="5" t="inlineStr">
        <is>
          <t>28.10 07:24</t>
        </is>
      </c>
      <c r="I69" s="5" t="inlineStr">
        <is>
          <t>Москва, Казанский</t>
        </is>
      </c>
      <c r="J69" s="9" t="n">
        <v>6793</v>
      </c>
      <c r="K69" s="9" t="n">
        <v>6793</v>
      </c>
      <c r="L69" s="5" t="inlineStr">
        <is>
          <t>Казанский вокзал → электричка до ст. Коломна (490–620 ₽) + такси 10 мин (~300 ₽) (08:47 РЭКС → 10:28)</t>
        </is>
      </c>
      <c r="M69" s="5" t="inlineStr">
        <is>
          <t>~10:45</t>
        </is>
      </c>
      <c r="N69" s="5" t="inlineStr">
        <is>
          <t>27.10 05:30 МСК → 28.10 10:45 МСК</t>
        </is>
      </c>
      <c r="O69" s="20" t="inlineStr">
        <is>
          <t>29 ч 15 мин</t>
        </is>
      </c>
      <c r="P69" s="5" t="inlineStr"/>
      <c r="Q69" s="21" t="inlineStr">
        <is>
          <t>https://www.tutu.ru/poezda/rasp_d.php?date=27.10.2026&amp;nnst1=2064000&amp;nnst2=2000000</t>
        </is>
      </c>
      <c r="R69" s="5" t="inlineStr">
        <is>
          <t>Ночь в купе — дневного варианта из Донецка нет. Донецк → Ростов ~4 ч (~1 500 ₽)</t>
        </is>
      </c>
      <c r="S69" s="5" t="inlineStr">
        <is>
          <t>проверить</t>
        </is>
      </c>
    </row>
    <row r="70">
      <c r="A70" s="5" t="inlineStr">
        <is>
          <t>Донецк (ДНР)</t>
        </is>
      </c>
      <c r="B70" s="5" t="n">
        <v>1</v>
      </c>
      <c r="C70" s="7" t="inlineStr">
        <is>
          <t>Обратно</t>
        </is>
      </c>
      <c r="D70" s="7" t="inlineStr">
        <is>
          <t>Самый дешёвый</t>
        </is>
      </c>
      <c r="E70" s="7" t="inlineStr">
        <is>
          <t>Автобус (сидячее место)</t>
        </is>
      </c>
      <c r="F70" s="7" t="inlineStr">
        <is>
          <t>рейс ~11:00–13:00</t>
        </is>
      </c>
      <c r="G70" s="5" t="inlineStr">
        <is>
          <t>31.10 днём</t>
        </is>
      </c>
      <c r="H70" s="5" t="inlineStr">
        <is>
          <t>01.11 утро</t>
        </is>
      </c>
      <c r="I70" s="5" t="inlineStr">
        <is>
          <t>АС «Новоясеневская» → Донецк</t>
        </is>
      </c>
      <c r="J70" s="6" t="n">
        <v>4000</v>
      </c>
      <c r="K70" s="6" t="n">
        <v>4000</v>
      </c>
      <c r="L70" s="5" t="inlineStr">
        <is>
          <t>31.10: электричка до Казанского + метро</t>
        </is>
      </c>
      <c r="M70" s="5" t="inlineStr"/>
      <c r="N70" s="5" t="inlineStr">
        <is>
          <t>31.10 08:30 МСК → 01.11 09:00 МСК</t>
        </is>
      </c>
      <c r="O70" s="20" t="inlineStr">
        <is>
          <t>24 ч 30 мин</t>
        </is>
      </c>
      <c r="P70" s="5" t="inlineStr">
        <is>
          <t>+1 ночь 30→31</t>
        </is>
      </c>
      <c r="Q70" s="21" t="inlineStr">
        <is>
          <t>https://vekspress-bus.ru/marshrutyi/doneczk-moskva.html</t>
        </is>
      </c>
      <c r="R70" s="5" t="inlineStr">
        <is>
          <t>Ночь сидя в автобусе</t>
        </is>
      </c>
      <c r="S70" s="5" t="inlineStr"/>
    </row>
    <row r="71">
      <c r="A71" s="5" t="inlineStr">
        <is>
          <t>Донецк (ДНР)</t>
        </is>
      </c>
      <c r="B71" s="5" t="n">
        <v>1</v>
      </c>
      <c r="C71" s="10" t="inlineStr">
        <is>
          <t>Обратно</t>
        </is>
      </c>
      <c r="D71" s="10" t="inlineStr">
        <is>
          <t>Удобный</t>
        </is>
      </c>
      <c r="E71" s="10" t="inlineStr">
        <is>
          <t>Поезд «Ингушетия», купе + автобус до Донецка</t>
        </is>
      </c>
      <c r="F71" s="10" t="inlineStr">
        <is>
          <t>146Э</t>
        </is>
      </c>
      <c r="G71" s="5" t="inlineStr">
        <is>
          <t>30.10 23:23</t>
        </is>
      </c>
      <c r="H71" s="5" t="inlineStr">
        <is>
          <t>31.10 19:35 (Ростов)</t>
        </is>
      </c>
      <c r="I71" s="5" t="inlineStr">
        <is>
          <t>Ростов-Главный</t>
        </is>
      </c>
      <c r="J71" s="9" t="n">
        <v>7132</v>
      </c>
      <c r="K71" s="9" t="n">
        <v>7132</v>
      </c>
      <c r="L71" s="5" t="inlineStr">
        <is>
          <t>Электричка 18:43 → Казанский 20:47</t>
        </is>
      </c>
      <c r="M71" s="5" t="inlineStr"/>
      <c r="N71" s="5" t="inlineStr">
        <is>
          <t>30.10 18:15 МСК → 01.11 00:00 МСК</t>
        </is>
      </c>
      <c r="O71" s="20" t="inlineStr">
        <is>
          <t>29 ч 45 мин</t>
        </is>
      </c>
      <c r="P71" s="5" t="inlineStr"/>
      <c r="Q71" s="21" t="inlineStr">
        <is>
          <t>https://www.tutu.ru/poezda/rasp_d.php?date=30.10.2026&amp;nnst1=2000000&amp;nnst2=2064000</t>
        </is>
      </c>
      <c r="R71" s="5" t="inlineStr">
        <is>
          <t>Ночь в купе; дома ~00:00. Также 092М «Таврия» 23:30, 9 721 ₽</t>
        </is>
      </c>
      <c r="S71" s="5" t="inlineStr"/>
    </row>
    <row r="72">
      <c r="A72" s="15" t="inlineStr">
        <is>
          <t>Екатеринбург (группа)</t>
        </is>
      </c>
      <c r="B72" s="16" t="n">
        <v>10</v>
      </c>
      <c r="C72" s="17" t="inlineStr">
        <is>
          <t>Туда</t>
        </is>
      </c>
      <c r="D72" s="17" t="inlineStr">
        <is>
          <t>Самый дешёвый</t>
        </is>
      </c>
      <c r="E72" s="17" t="inlineStr">
        <is>
          <t>Самолёт, Уральские авиалинии</t>
        </is>
      </c>
      <c r="F72" s="17" t="inlineStr">
        <is>
          <t>U6-264</t>
        </is>
      </c>
      <c r="G72" s="16" t="inlineStr">
        <is>
          <t>28.10 06:50 (мест.)</t>
        </is>
      </c>
      <c r="H72" s="16" t="inlineStr">
        <is>
          <t>28.10 07:25</t>
        </is>
      </c>
      <c r="I72" s="16" t="inlineStr">
        <is>
          <t>Домодедово</t>
        </is>
      </c>
      <c r="J72" s="18" t="n">
        <v>7811</v>
      </c>
      <c r="K72" s="18" t="n">
        <v>10789</v>
      </c>
      <c r="L72" s="16" t="inlineStr">
        <is>
          <t>Домодедово: такси 1 ч 45 мин + 40 мин на выход (группа 2–4 чел.) — 2 минивэна</t>
        </is>
      </c>
      <c r="M72" s="16" t="inlineStr">
        <is>
          <t>~09:50</t>
        </is>
      </c>
      <c r="N72" s="16" t="inlineStr">
        <is>
          <t>28.10 03:50 (мест.) → 28.10 09:50 МСК</t>
        </is>
      </c>
      <c r="O72" s="15" t="inlineStr">
        <is>
          <t>8 ч 00 мин</t>
        </is>
      </c>
      <c r="P72" s="16" t="inlineStr"/>
      <c r="Q72" s="19" t="inlineStr">
        <is>
          <t>https://avia.tutu.ru/f/Ekaterinburg/Moskva/?class=Y&amp;travelers=1&amp;route[0]=29-28102026-491</t>
        </is>
      </c>
      <c r="R72" s="16" t="inlineStr">
        <is>
          <t>Подъём ~03:30. Цена одного билета; 10 билетов на один рейс — покупать заранее, пока есть места по этой цене</t>
        </is>
      </c>
      <c r="S72" s="16" t="inlineStr">
        <is>
          <t>проверить</t>
        </is>
      </c>
    </row>
    <row r="73">
      <c r="A73" s="5" t="inlineStr">
        <is>
          <t>Екатеринбург (группа)</t>
        </is>
      </c>
      <c r="B73" s="5" t="n">
        <v>10</v>
      </c>
      <c r="C73" s="10" t="inlineStr">
        <is>
          <t>Туда</t>
        </is>
      </c>
      <c r="D73" s="10" t="inlineStr">
        <is>
          <t>Удобный</t>
        </is>
      </c>
      <c r="E73" s="10" t="inlineStr">
        <is>
          <t>Самолёт, Уральские авиалинии</t>
        </is>
      </c>
      <c r="F73" s="10" t="inlineStr">
        <is>
          <t>U6-272</t>
        </is>
      </c>
      <c r="G73" s="5" t="inlineStr">
        <is>
          <t>28.10 09:30 (мест.)</t>
        </is>
      </c>
      <c r="H73" s="5" t="inlineStr">
        <is>
          <t>28.10 10:10</t>
        </is>
      </c>
      <c r="I73" s="5" t="inlineStr">
        <is>
          <t>Домодедово</t>
        </is>
      </c>
      <c r="J73" s="9" t="n">
        <v>8875</v>
      </c>
      <c r="K73" s="9" t="n">
        <v>11932</v>
      </c>
      <c r="L73" s="5" t="inlineStr">
        <is>
          <t>Домодедово: такси 1 ч 45 мин + 40 мин на выход (группа 2–4 чел.) — 2 минивэна</t>
        </is>
      </c>
      <c r="M73" s="5" t="inlineStr">
        <is>
          <t>~12:40</t>
        </is>
      </c>
      <c r="N73" s="5" t="inlineStr">
        <is>
          <t>28.10 06:30 (мест.) → 28.10 12:40 МСК</t>
        </is>
      </c>
      <c r="O73" s="20" t="inlineStr">
        <is>
          <t>8 ч 10 мин</t>
        </is>
      </c>
      <c r="P73" s="5" t="inlineStr"/>
      <c r="Q73" s="21" t="inlineStr">
        <is>
          <t>https://avia.tutu.ru/f/Ekaterinburg/Moskva/?class=Y&amp;travelers=1&amp;route[0]=29-28102026-491</t>
        </is>
      </c>
      <c r="R73" s="5" t="inlineStr">
        <is>
          <t>Подъём ~06:00; к экскурсии успевают. Также U6-300 12:00, 10 289 / 13 395</t>
        </is>
      </c>
      <c r="S73" s="5" t="inlineStr">
        <is>
          <t>проверить</t>
        </is>
      </c>
    </row>
    <row r="74">
      <c r="A74" s="5" t="inlineStr">
        <is>
          <t>Екатеринбург (группа)</t>
        </is>
      </c>
      <c r="B74" s="5" t="n">
        <v>10</v>
      </c>
      <c r="C74" s="7" t="inlineStr">
        <is>
          <t>Обратно</t>
        </is>
      </c>
      <c r="D74" s="7" t="inlineStr">
        <is>
          <t>Самый дешёвый</t>
        </is>
      </c>
      <c r="E74" s="7" t="inlineStr">
        <is>
          <t>Самолёт, Победа</t>
        </is>
      </c>
      <c r="F74" s="7" t="inlineStr">
        <is>
          <t>DP-403</t>
        </is>
      </c>
      <c r="G74" s="5" t="inlineStr">
        <is>
          <t>30.10 23:50</t>
        </is>
      </c>
      <c r="H74" s="5" t="inlineStr">
        <is>
          <t>31.10 04:20 (мест.)</t>
        </is>
      </c>
      <c r="I74" s="5" t="inlineStr">
        <is>
          <t>Внуково</t>
        </is>
      </c>
      <c r="J74" s="6" t="n">
        <v>9104</v>
      </c>
      <c r="K74" s="6" t="n">
        <v>12205</v>
      </c>
      <c r="L74" s="5" t="inlineStr">
        <is>
          <t>Выезд из гостиницы 18:15; в аэропорту за 2 ч до вылета — минивэн до Внуково</t>
        </is>
      </c>
      <c r="M74" s="5" t="inlineStr"/>
      <c r="N74" s="5" t="inlineStr">
        <is>
          <t>30.10 18:15 МСК → 31.10 06:00 (мест.)</t>
        </is>
      </c>
      <c r="O74" s="20" t="inlineStr">
        <is>
          <t>9 ч 45 мин</t>
        </is>
      </c>
      <c r="P74" s="5" t="inlineStr"/>
      <c r="Q74" s="21" t="inlineStr">
        <is>
          <t>https://avia.tutu.ru/f/Moskva/Ekaterinburg/?class=Y&amp;travelers=1&amp;route[0]=491-30102026-29</t>
        </is>
      </c>
      <c r="R74" s="5" t="inlineStr">
        <is>
          <t>Ночной рейс</t>
        </is>
      </c>
      <c r="S74" s="5" t="inlineStr">
        <is>
          <t>проверить</t>
        </is>
      </c>
    </row>
    <row r="75">
      <c r="A75" s="5" t="inlineStr">
        <is>
          <t>Екатеринбург (группа)</t>
        </is>
      </c>
      <c r="B75" s="5" t="n">
        <v>10</v>
      </c>
      <c r="C75" s="10" t="inlineStr">
        <is>
          <t>Обратно</t>
        </is>
      </c>
      <c r="D75" s="10" t="inlineStr">
        <is>
          <t>Удобный</t>
        </is>
      </c>
      <c r="E75" s="10" t="inlineStr">
        <is>
          <t>Самолёт, Уральские авиалинии</t>
        </is>
      </c>
      <c r="F75" s="10" t="inlineStr">
        <is>
          <t>U6-261</t>
        </is>
      </c>
      <c r="G75" s="5" t="inlineStr">
        <is>
          <t>31.10 10:00</t>
        </is>
      </c>
      <c r="H75" s="5" t="inlineStr">
        <is>
          <t>31.10 14:30 (мест.)</t>
        </is>
      </c>
      <c r="I75" s="5" t="inlineStr">
        <is>
          <t>Домодедово</t>
        </is>
      </c>
      <c r="J75" s="9" t="n">
        <v>11783</v>
      </c>
      <c r="K75" s="9" t="n">
        <v>15996</v>
      </c>
      <c r="L75" s="5" t="inlineStr">
        <is>
          <t>31.10 утро: такси до Домодедово ~1 ч 30 мин, минивэн</t>
        </is>
      </c>
      <c r="M75" s="5" t="inlineStr"/>
      <c r="N75" s="5" t="inlineStr">
        <is>
          <t>31.10 06:30 МСК → 31.10 16:10 (мест.)</t>
        </is>
      </c>
      <c r="O75" s="20" t="inlineStr">
        <is>
          <t>7 ч 40 мин</t>
        </is>
      </c>
      <c r="P75" s="5" t="inlineStr">
        <is>
          <t>+1 ночь 30→31</t>
        </is>
      </c>
      <c r="Q75" s="21" t="inlineStr">
        <is>
          <t>https://avia.tutu.ru/f/Moskva/Ekaterinburg/?class=Y&amp;travelers=1&amp;route[0]=491-31102026-29</t>
        </is>
      </c>
      <c r="R75" s="5" t="inlineStr">
        <is>
          <t>Цена одного билета. Также U6-273 08:25</t>
        </is>
      </c>
      <c r="S75" s="5" t="inlineStr">
        <is>
          <t>проверить</t>
        </is>
      </c>
    </row>
    <row r="76">
      <c r="A76" s="15" t="inlineStr">
        <is>
          <t>Нижний Тагил</t>
        </is>
      </c>
      <c r="B76" s="16" t="n">
        <v>1</v>
      </c>
      <c r="C76" s="16" t="inlineStr">
        <is>
          <t>Подвоз к группе</t>
        </is>
      </c>
      <c r="D76" s="16" t="inlineStr">
        <is>
          <t>—</t>
        </is>
      </c>
      <c r="E76" s="16" t="inlineStr">
        <is>
          <t>Электричка/такси до Кольцово</t>
        </is>
      </c>
      <c r="F76" s="16" t="inlineStr"/>
      <c r="G76" s="16" t="inlineStr">
        <is>
          <t>27.10 вечер (удобный) или 28.10 ~03:00 (эконом)</t>
        </is>
      </c>
      <c r="H76" s="16" t="inlineStr">
        <is>
          <t>до вылета</t>
        </is>
      </c>
      <c r="I76" s="16" t="inlineStr">
        <is>
          <t>Екатеринбург, Кольцово</t>
        </is>
      </c>
      <c r="J76" s="22" t="n">
        <v>1200</v>
      </c>
      <c r="K76" s="22" t="n">
        <v>4000</v>
      </c>
      <c r="L76" s="16" t="inlineStr">
        <is>
          <t>~150 км: электричка + автобус (~1 200 ₽) или такси (~4 000 ₽)</t>
        </is>
      </c>
      <c r="M76" s="16" t="inlineStr"/>
      <c r="N76" s="16" t="inlineStr"/>
      <c r="O76" s="16" t="inlineStr"/>
      <c r="P76" s="16" t="inlineStr"/>
      <c r="Q76" s="16" t="inlineStr"/>
      <c r="R76" s="16" t="inlineStr">
        <is>
          <t>Для удобного варианта — приехать в Екатеринбург накануне</t>
        </is>
      </c>
      <c r="S76" s="16" t="inlineStr">
        <is>
          <t>проверить</t>
        </is>
      </c>
    </row>
    <row r="77">
      <c r="A77" s="15" t="inlineStr">
        <is>
          <t>Магнитогорск</t>
        </is>
      </c>
      <c r="B77" s="16" t="n">
        <v>1</v>
      </c>
      <c r="C77" s="17" t="inlineStr">
        <is>
          <t>Туда</t>
        </is>
      </c>
      <c r="D77" s="17" t="inlineStr">
        <is>
          <t>Самый дешёвый = Удобный</t>
        </is>
      </c>
      <c r="E77" s="17" t="inlineStr">
        <is>
          <t>Самолёт, Азимут</t>
        </is>
      </c>
      <c r="F77" s="17" t="inlineStr">
        <is>
          <t>A4-7062</t>
        </is>
      </c>
      <c r="G77" s="16" t="inlineStr">
        <is>
          <t>28.10 12:20 (мест.)</t>
        </is>
      </c>
      <c r="H77" s="16" t="inlineStr">
        <is>
          <t>28.10 13:00</t>
        </is>
      </c>
      <c r="I77" s="16" t="inlineStr">
        <is>
          <t>Внуково</t>
        </is>
      </c>
      <c r="J77" s="18" t="n">
        <v>12962</v>
      </c>
      <c r="K77" s="18" t="n">
        <v>16375</v>
      </c>
      <c r="L77" s="16" t="inlineStr">
        <is>
          <t>Внуково: метро → Казанский вокзал + электричка, или такси ~2 ч 45 мин</t>
        </is>
      </c>
      <c r="M77" s="16" t="inlineStr">
        <is>
          <t>~16:25</t>
        </is>
      </c>
      <c r="N77" s="16" t="inlineStr">
        <is>
          <t>28.10 10:05 (мест.) → 28.10 16:25 МСК</t>
        </is>
      </c>
      <c r="O77" s="15" t="inlineStr">
        <is>
          <t>8 ч 20 мин</t>
        </is>
      </c>
      <c r="P77" s="16" t="inlineStr"/>
      <c r="Q77" s="19" t="inlineStr">
        <is>
          <t>https://avia.tutu.ru/f/Magnitogorsk/Moskva/?class=Y&amp;travelers=1&amp;route[0]=45-28102026-491</t>
        </is>
      </c>
      <c r="R77" s="16" t="inlineStr">
        <is>
          <t>Выезд из дома ~10:00. Другие рейсы неудобны (06:15)</t>
        </is>
      </c>
      <c r="S77" s="16" t="inlineStr">
        <is>
          <t>проверить</t>
        </is>
      </c>
    </row>
    <row r="78">
      <c r="A78" s="5" t="inlineStr">
        <is>
          <t>Магнитогорск</t>
        </is>
      </c>
      <c r="B78" s="5" t="n">
        <v>1</v>
      </c>
      <c r="C78" s="7" t="inlineStr">
        <is>
          <t>Обратно</t>
        </is>
      </c>
      <c r="D78" s="7" t="inlineStr">
        <is>
          <t>Самый дешёвый</t>
        </is>
      </c>
      <c r="E78" s="7" t="inlineStr">
        <is>
          <t>Самолёт, Аэрофлот</t>
        </is>
      </c>
      <c r="F78" s="7" t="inlineStr">
        <is>
          <t>SU-1428</t>
        </is>
      </c>
      <c r="G78" s="5" t="inlineStr">
        <is>
          <t>31.10 00:40</t>
        </is>
      </c>
      <c r="H78" s="5" t="inlineStr">
        <is>
          <t>31.10 05:05 (мест.)</t>
        </is>
      </c>
      <c r="I78" s="5" t="inlineStr">
        <is>
          <t>Шереметьево</t>
        </is>
      </c>
      <c r="J78" s="6" t="n">
        <v>16417</v>
      </c>
      <c r="K78" s="6" t="n">
        <v>20134</v>
      </c>
      <c r="L78" s="5" t="inlineStr">
        <is>
          <t>Выезд из гостиницы 18:15; в аэропорту за 2 ч до вылета</t>
        </is>
      </c>
      <c r="M78" s="5" t="inlineStr"/>
      <c r="N78" s="5" t="inlineStr">
        <is>
          <t>30.10 18:15 МСК → 31.10 06:30 (мест.)</t>
        </is>
      </c>
      <c r="O78" s="20" t="inlineStr">
        <is>
          <t>10 ч 15 мин</t>
        </is>
      </c>
      <c r="P78" s="5" t="inlineStr"/>
      <c r="Q78" s="21" t="inlineStr">
        <is>
          <t>https://avia.tutu.ru/f/Moskva/Magnitogorsk/?class=Y&amp;travelers=1&amp;route[0]=491-31102026-45</t>
        </is>
      </c>
      <c r="R78" s="5" t="inlineStr">
        <is>
          <t>Ночной рейс сразу после конференции</t>
        </is>
      </c>
      <c r="S78" s="5" t="inlineStr"/>
    </row>
    <row r="79">
      <c r="A79" s="5" t="inlineStr">
        <is>
          <t>Магнитогорск</t>
        </is>
      </c>
      <c r="B79" s="5" t="n">
        <v>1</v>
      </c>
      <c r="C79" s="10" t="inlineStr">
        <is>
          <t>Обратно</t>
        </is>
      </c>
      <c r="D79" s="10" t="inlineStr">
        <is>
          <t>Удобный</t>
        </is>
      </c>
      <c r="E79" s="10" t="inlineStr">
        <is>
          <t>Самолёт до Челябинска + автобус</t>
        </is>
      </c>
      <c r="F79" s="10" t="inlineStr">
        <is>
          <t>SU-1420</t>
        </is>
      </c>
      <c r="G79" s="5" t="inlineStr">
        <is>
          <t>31.10 10:50</t>
        </is>
      </c>
      <c r="H79" s="5" t="inlineStr">
        <is>
          <t>31.10 15:25 Челябинск (мест.), дома ~21:00</t>
        </is>
      </c>
      <c r="I79" s="5" t="inlineStr">
        <is>
          <t>Шереметьево</t>
        </is>
      </c>
      <c r="J79" s="9" t="n">
        <v>13288</v>
      </c>
      <c r="K79" s="9" t="n">
        <v>16966</v>
      </c>
      <c r="L79" s="5" t="inlineStr">
        <is>
          <t>31.10 днём: электричка + аэроэкспресс или такси ~2 ч 30 мин</t>
        </is>
      </c>
      <c r="M79" s="5" t="inlineStr"/>
      <c r="N79" s="5" t="inlineStr">
        <is>
          <t>31.10 06:20 МСК → 31.10 21:00 (мест.)</t>
        </is>
      </c>
      <c r="O79" s="20" t="inlineStr">
        <is>
          <t>12 ч 40 мин</t>
        </is>
      </c>
      <c r="P79" s="5" t="inlineStr">
        <is>
          <t>+1 ночь 30→31</t>
        </is>
      </c>
      <c r="Q79" s="21" t="inlineStr">
        <is>
          <t>https://avia.tutu.ru/f/Moskva/Chelyabinsk/?class=Y&amp;travelers=1&amp;route[0]=491-31102026-98</t>
        </is>
      </c>
      <c r="R79" s="5" t="inlineStr">
        <is>
          <t>Прямые рейсы в Магнитогорск — только 00:40 и 07:40. Челябинск → Магнитогорск автобус ~4,5 ч, ~1 500 ₽ (включено)</t>
        </is>
      </c>
      <c r="S79" s="5" t="inlineStr">
        <is>
          <t>проверить</t>
        </is>
      </c>
    </row>
    <row r="80">
      <c r="A80" s="15" t="inlineStr">
        <is>
          <t>Челябинск</t>
        </is>
      </c>
      <c r="B80" s="16" t="n">
        <v>1</v>
      </c>
      <c r="C80" s="17" t="inlineStr">
        <is>
          <t>Туда</t>
        </is>
      </c>
      <c r="D80" s="17" t="inlineStr">
        <is>
          <t>Самый дешёвый</t>
        </is>
      </c>
      <c r="E80" s="17" t="inlineStr">
        <is>
          <t>Самолёт, Победа</t>
        </is>
      </c>
      <c r="F80" s="17" t="inlineStr">
        <is>
          <t>DP-414</t>
        </is>
      </c>
      <c r="G80" s="16" t="inlineStr">
        <is>
          <t>28.10 06:30 (мест.)</t>
        </is>
      </c>
      <c r="H80" s="16" t="inlineStr">
        <is>
          <t>28.10 07:15</t>
        </is>
      </c>
      <c r="I80" s="16" t="inlineStr">
        <is>
          <t>Внуково</t>
        </is>
      </c>
      <c r="J80" s="18" t="n">
        <v>6196</v>
      </c>
      <c r="K80" s="18" t="n">
        <v>8991</v>
      </c>
      <c r="L80" s="16" t="inlineStr">
        <is>
          <t>Внуково: метро → Казанский вокзал + электричка, или такси ~2 ч 45 мин</t>
        </is>
      </c>
      <c r="M80" s="16" t="inlineStr">
        <is>
          <t>~10:40</t>
        </is>
      </c>
      <c r="N80" s="16" t="inlineStr">
        <is>
          <t>28.10 03:30 (мест.) → 28.10 10:40 МСК</t>
        </is>
      </c>
      <c r="O80" s="15" t="inlineStr">
        <is>
          <t>9 ч 10 мин</t>
        </is>
      </c>
      <c r="P80" s="16" t="inlineStr"/>
      <c r="Q80" s="19" t="inlineStr">
        <is>
          <t>https://avia.tutu.ru/f/Chelyabinsk/Moskva/?class=Y&amp;travelers=1&amp;route[0]=98-28102026-491</t>
        </is>
      </c>
      <c r="R80" s="16" t="inlineStr">
        <is>
          <t>Ранний подъём</t>
        </is>
      </c>
      <c r="S80" s="16" t="inlineStr">
        <is>
          <t>проверить</t>
        </is>
      </c>
    </row>
    <row r="81">
      <c r="A81" s="5" t="inlineStr">
        <is>
          <t>Челябинск</t>
        </is>
      </c>
      <c r="B81" s="5" t="n">
        <v>1</v>
      </c>
      <c r="C81" s="10" t="inlineStr">
        <is>
          <t>Туда</t>
        </is>
      </c>
      <c r="D81" s="10" t="inlineStr">
        <is>
          <t>Удобный</t>
        </is>
      </c>
      <c r="E81" s="10" t="inlineStr">
        <is>
          <t>Самолёт, Аэрофлот</t>
        </is>
      </c>
      <c r="F81" s="10" t="inlineStr">
        <is>
          <t>SU-1421</t>
        </is>
      </c>
      <c r="G81" s="5" t="inlineStr">
        <is>
          <t>28.10 16:20 (мест.)</t>
        </is>
      </c>
      <c r="H81" s="5" t="inlineStr">
        <is>
          <t>28.10 17:10</t>
        </is>
      </c>
      <c r="I81" s="5" t="inlineStr">
        <is>
          <t>Шереметьево</t>
        </is>
      </c>
      <c r="J81" s="9" t="n">
        <v>9292</v>
      </c>
      <c r="K81" s="9" t="n">
        <v>12939</v>
      </c>
      <c r="L81" s="5" t="inlineStr">
        <is>
          <t>Шереметьево: такси ~3 ч или аэроэкспресс → Белорусский + метро → Казанский + электричка</t>
        </is>
      </c>
      <c r="M81" s="5" t="inlineStr">
        <is>
          <t>~20:50</t>
        </is>
      </c>
      <c r="N81" s="5" t="inlineStr">
        <is>
          <t>28.10 13:20 (мест.) → 28.10 20:50 МСК</t>
        </is>
      </c>
      <c r="O81" s="20" t="inlineStr">
        <is>
          <t>9 ч 30 мин</t>
        </is>
      </c>
      <c r="P81" s="5" t="inlineStr"/>
      <c r="Q81" s="21" t="inlineStr">
        <is>
          <t>https://avia.tutu.ru/f/Chelyabinsk/Moskva/?class=Y&amp;travelers=1&amp;route[0]=98-28102026-491</t>
        </is>
      </c>
      <c r="R81" s="5" t="inlineStr">
        <is>
          <t>Без экскурсии. Для экскурсии: SU-1535 12:30, 10 408 / 14 081</t>
        </is>
      </c>
      <c r="S81" s="5" t="inlineStr">
        <is>
          <t>проверить</t>
        </is>
      </c>
    </row>
    <row r="82">
      <c r="A82" s="5" t="inlineStr">
        <is>
          <t>Челябинск</t>
        </is>
      </c>
      <c r="B82" s="5" t="n">
        <v>1</v>
      </c>
      <c r="C82" s="7" t="inlineStr">
        <is>
          <t>Обратно</t>
        </is>
      </c>
      <c r="D82" s="7" t="inlineStr">
        <is>
          <t>Самый дешёвый</t>
        </is>
      </c>
      <c r="E82" s="7" t="inlineStr">
        <is>
          <t>Самолёт, Победа</t>
        </is>
      </c>
      <c r="F82" s="7" t="inlineStr">
        <is>
          <t>DP-413</t>
        </is>
      </c>
      <c r="G82" s="5" t="inlineStr">
        <is>
          <t>30.10 23:45</t>
        </is>
      </c>
      <c r="H82" s="5" t="inlineStr">
        <is>
          <t>31.10 04:25 (мест.)</t>
        </is>
      </c>
      <c r="I82" s="5" t="inlineStr">
        <is>
          <t>Внуково</t>
        </is>
      </c>
      <c r="J82" s="6" t="n">
        <v>7789</v>
      </c>
      <c r="K82" s="6" t="n">
        <v>10643</v>
      </c>
      <c r="L82" s="5" t="inlineStr">
        <is>
          <t>Выезд из гостиницы 18:15; в аэропорту за 2 ч до вылета</t>
        </is>
      </c>
      <c r="M82" s="5" t="inlineStr"/>
      <c r="N82" s="5" t="inlineStr">
        <is>
          <t>30.10 18:15 МСК → 31.10 06:05 (мест.)</t>
        </is>
      </c>
      <c r="O82" s="20" t="inlineStr">
        <is>
          <t>9 ч 50 мин</t>
        </is>
      </c>
      <c r="P82" s="5" t="inlineStr"/>
      <c r="Q82" s="21" t="inlineStr">
        <is>
          <t>https://avia.tutu.ru/f/Moskva/Chelyabinsk/?class=Y&amp;travelers=1&amp;route[0]=491-30102026-98</t>
        </is>
      </c>
      <c r="R82" s="5" t="inlineStr">
        <is>
          <t>Ночной рейс</t>
        </is>
      </c>
      <c r="S82" s="5" t="inlineStr"/>
    </row>
    <row r="83">
      <c r="A83" s="5" t="inlineStr">
        <is>
          <t>Челябинск</t>
        </is>
      </c>
      <c r="B83" s="5" t="n">
        <v>1</v>
      </c>
      <c r="C83" s="10" t="inlineStr">
        <is>
          <t>Обратно</t>
        </is>
      </c>
      <c r="D83" s="10" t="inlineStr">
        <is>
          <t>Удобный</t>
        </is>
      </c>
      <c r="E83" s="10" t="inlineStr">
        <is>
          <t>Самолёт, Аэрофлот</t>
        </is>
      </c>
      <c r="F83" s="10" t="inlineStr">
        <is>
          <t>SU-1420</t>
        </is>
      </c>
      <c r="G83" s="5" t="inlineStr">
        <is>
          <t>31.10 10:50</t>
        </is>
      </c>
      <c r="H83" s="5" t="inlineStr">
        <is>
          <t>31.10 15:25 (мест.)</t>
        </is>
      </c>
      <c r="I83" s="5" t="inlineStr">
        <is>
          <t>Шереметьево</t>
        </is>
      </c>
      <c r="J83" s="9" t="n">
        <v>11788</v>
      </c>
      <c r="K83" s="9" t="n">
        <v>15466</v>
      </c>
      <c r="L83" s="5" t="inlineStr">
        <is>
          <t>31.10 днём: электричка + аэроэкспресс или такси ~2 ч 30 мин</t>
        </is>
      </c>
      <c r="M83" s="5" t="inlineStr"/>
      <c r="N83" s="5" t="inlineStr">
        <is>
          <t>31.10 06:20 МСК → 31.10 17:05 (мест.)</t>
        </is>
      </c>
      <c r="O83" s="20" t="inlineStr">
        <is>
          <t>8 ч 45 мин</t>
        </is>
      </c>
      <c r="P83" s="5" t="inlineStr">
        <is>
          <t>+1 ночь 30→31</t>
        </is>
      </c>
      <c r="Q83" s="21" t="inlineStr">
        <is>
          <t>https://avia.tutu.ru/f/Moskva/Chelyabinsk/?class=Y&amp;travelers=1&amp;route[0]=491-31102026-98</t>
        </is>
      </c>
      <c r="R83" s="5" t="inlineStr"/>
      <c r="S83" s="5" t="inlineStr">
        <is>
          <t>проверить</t>
        </is>
      </c>
    </row>
    <row r="84">
      <c r="A84" s="15" t="inlineStr">
        <is>
          <t>Тюмень</t>
        </is>
      </c>
      <c r="B84" s="16" t="n">
        <v>1</v>
      </c>
      <c r="C84" s="17" t="inlineStr">
        <is>
          <t>Туда</t>
        </is>
      </c>
      <c r="D84" s="17" t="inlineStr">
        <is>
          <t>Самый дешёвый</t>
        </is>
      </c>
      <c r="E84" s="17" t="inlineStr">
        <is>
          <t>Самолёт, Победа</t>
        </is>
      </c>
      <c r="F84" s="17" t="inlineStr">
        <is>
          <t>DP-6562</t>
        </is>
      </c>
      <c r="G84" s="16" t="inlineStr">
        <is>
          <t>28.10 06:25 (мест.)</t>
        </is>
      </c>
      <c r="H84" s="16" t="inlineStr">
        <is>
          <t>28.10 07:30</t>
        </is>
      </c>
      <c r="I84" s="16" t="inlineStr">
        <is>
          <t>Шереметьево</t>
        </is>
      </c>
      <c r="J84" s="18" t="n">
        <v>5873</v>
      </c>
      <c r="K84" s="18" t="n">
        <v>8712</v>
      </c>
      <c r="L84" s="16" t="inlineStr">
        <is>
          <t>Шереметьево: такси ~3 ч или аэроэкспресс → Белорусский + метро → Казанский + электричка</t>
        </is>
      </c>
      <c r="M84" s="16" t="inlineStr">
        <is>
          <t>~11:10</t>
        </is>
      </c>
      <c r="N84" s="16" t="inlineStr">
        <is>
          <t>28.10 04:10 (мест.) → 28.10 11:10 МСК</t>
        </is>
      </c>
      <c r="O84" s="15" t="inlineStr">
        <is>
          <t>9 ч 00 мин</t>
        </is>
      </c>
      <c r="P84" s="16" t="inlineStr"/>
      <c r="Q84" s="19" t="inlineStr">
        <is>
          <t>https://avia.tutu.ru/f/Tyumen/Moskva/?class=Y&amp;travelers=1&amp;route[0]=86-28102026-491</t>
        </is>
      </c>
      <c r="R84" s="16" t="inlineStr">
        <is>
          <t>Ранний подъём</t>
        </is>
      </c>
      <c r="S84" s="16" t="inlineStr">
        <is>
          <t>проверить</t>
        </is>
      </c>
    </row>
    <row r="85">
      <c r="A85" s="5" t="inlineStr">
        <is>
          <t>Тюмень</t>
        </is>
      </c>
      <c r="B85" s="5" t="n">
        <v>1</v>
      </c>
      <c r="C85" s="10" t="inlineStr">
        <is>
          <t>Туда</t>
        </is>
      </c>
      <c r="D85" s="10" t="inlineStr">
        <is>
          <t>Удобный</t>
        </is>
      </c>
      <c r="E85" s="10" t="inlineStr">
        <is>
          <t>Самолёт, ЮТэйр</t>
        </is>
      </c>
      <c r="F85" s="10" t="inlineStr">
        <is>
          <t>UT-464</t>
        </is>
      </c>
      <c r="G85" s="5" t="inlineStr">
        <is>
          <t>28.10 18:00 (мест.)</t>
        </is>
      </c>
      <c r="H85" s="5" t="inlineStr">
        <is>
          <t>28.10 18:55</t>
        </is>
      </c>
      <c r="I85" s="5" t="inlineStr">
        <is>
          <t>Внуково</t>
        </is>
      </c>
      <c r="J85" s="9" t="n">
        <v>7065</v>
      </c>
      <c r="K85" s="9" t="n">
        <v>10125</v>
      </c>
      <c r="L85" s="5" t="inlineStr">
        <is>
          <t>Такси ~2 ч 45 мин</t>
        </is>
      </c>
      <c r="M85" s="5" t="inlineStr">
        <is>
          <t>~22:30</t>
        </is>
      </c>
      <c r="N85" s="5" t="inlineStr">
        <is>
          <t>28.10 15:45 (мест.) → 28.10 22:30 МСК</t>
        </is>
      </c>
      <c r="O85" s="20" t="inlineStr">
        <is>
          <t>8 ч 45 мин</t>
        </is>
      </c>
      <c r="P85" s="5" t="inlineStr"/>
      <c r="Q85" s="21" t="inlineStr">
        <is>
          <t>https://avia.tutu.ru/f/Tyumen/Moskva/?class=Y&amp;travelers=1&amp;route[0]=86-28102026-491</t>
        </is>
      </c>
      <c r="R85" s="5" t="inlineStr">
        <is>
          <t>Без экскурсии. Для экскурсии: SU-1505 13:25, 9 980 / 13 589</t>
        </is>
      </c>
      <c r="S85" s="5" t="inlineStr"/>
    </row>
    <row r="86">
      <c r="A86" s="5" t="inlineStr">
        <is>
          <t>Тюмень</t>
        </is>
      </c>
      <c r="B86" s="5" t="n">
        <v>1</v>
      </c>
      <c r="C86" s="7" t="inlineStr">
        <is>
          <t>Обратно</t>
        </is>
      </c>
      <c r="D86" s="7" t="inlineStr">
        <is>
          <t>Самый дешёвый</t>
        </is>
      </c>
      <c r="E86" s="7" t="inlineStr">
        <is>
          <t>Самолёт, Победа</t>
        </is>
      </c>
      <c r="F86" s="7" t="inlineStr">
        <is>
          <t>DP-6561</t>
        </is>
      </c>
      <c r="G86" s="5" t="inlineStr">
        <is>
          <t>30.10 23:50</t>
        </is>
      </c>
      <c r="H86" s="5" t="inlineStr">
        <is>
          <t>31.10 04:40 (мест.)</t>
        </is>
      </c>
      <c r="I86" s="5" t="inlineStr">
        <is>
          <t>Шереметьево</t>
        </is>
      </c>
      <c r="J86" s="6" t="n">
        <v>8168</v>
      </c>
      <c r="K86" s="6" t="n">
        <v>11154</v>
      </c>
      <c r="L86" s="5" t="inlineStr">
        <is>
          <t>Выезд из гостиницы 18:15; в аэропорту за 2 ч до вылета</t>
        </is>
      </c>
      <c r="M86" s="5" t="inlineStr"/>
      <c r="N86" s="5" t="inlineStr">
        <is>
          <t>30.10 18:15 МСК → 31.10 06:05 (мест.)</t>
        </is>
      </c>
      <c r="O86" s="20" t="inlineStr">
        <is>
          <t>9 ч 50 мин</t>
        </is>
      </c>
      <c r="P86" s="5" t="inlineStr"/>
      <c r="Q86" s="21" t="inlineStr">
        <is>
          <t>https://avia.tutu.ru/f/Moskva/Tyumen/?class=Y&amp;travelers=1&amp;route[0]=491-30102026-86</t>
        </is>
      </c>
      <c r="R86" s="5" t="inlineStr">
        <is>
          <t>Ночной рейс, впритык по правилу 2 ч</t>
        </is>
      </c>
      <c r="S86" s="5" t="inlineStr"/>
    </row>
    <row r="87">
      <c r="A87" s="5" t="inlineStr">
        <is>
          <t>Тюмень</t>
        </is>
      </c>
      <c r="B87" s="5" t="n">
        <v>1</v>
      </c>
      <c r="C87" s="10" t="inlineStr">
        <is>
          <t>Обратно</t>
        </is>
      </c>
      <c r="D87" s="10" t="inlineStr">
        <is>
          <t>Удобный</t>
        </is>
      </c>
      <c r="E87" s="10" t="inlineStr">
        <is>
          <t>Самолёт, ЮТэйр</t>
        </is>
      </c>
      <c r="F87" s="10" t="inlineStr">
        <is>
          <t>UT-463</t>
        </is>
      </c>
      <c r="G87" s="5" t="inlineStr">
        <is>
          <t>31.10 10:00</t>
        </is>
      </c>
      <c r="H87" s="5" t="inlineStr">
        <is>
          <t>31.10 14:45 (мест.)</t>
        </is>
      </c>
      <c r="I87" s="5" t="inlineStr">
        <is>
          <t>Внуково</t>
        </is>
      </c>
      <c r="J87" s="9" t="n">
        <v>7208</v>
      </c>
      <c r="K87" s="9" t="n">
        <v>10818</v>
      </c>
      <c r="L87" s="5" t="inlineStr">
        <is>
          <t>31.10 днём: такси до Внуково ~2 ч 15 мин или электричка + метро</t>
        </is>
      </c>
      <c r="M87" s="5" t="inlineStr"/>
      <c r="N87" s="5" t="inlineStr">
        <is>
          <t>31.10 05:45 МСК → 31.10 16:10 (мест.)</t>
        </is>
      </c>
      <c r="O87" s="20" t="inlineStr">
        <is>
          <t>8 ч 25 мин</t>
        </is>
      </c>
      <c r="P87" s="5" t="inlineStr">
        <is>
          <t>+1 ночь 30→31</t>
        </is>
      </c>
      <c r="Q87" s="21" t="inlineStr">
        <is>
          <t>https://avia.tutu.ru/f/Moskva/Tyumen/?class=Y&amp;travelers=1&amp;route[0]=491-31102026-86</t>
        </is>
      </c>
      <c r="R87" s="5" t="inlineStr"/>
      <c r="S87" s="5" t="inlineStr">
        <is>
          <t>проверить</t>
        </is>
      </c>
    </row>
    <row r="88">
      <c r="A88" s="15" t="inlineStr">
        <is>
          <t>Санкт-Петербург</t>
        </is>
      </c>
      <c r="B88" s="16" t="n">
        <v>1</v>
      </c>
      <c r="C88" s="17" t="inlineStr">
        <is>
          <t>Туда</t>
        </is>
      </c>
      <c r="D88" s="17" t="inlineStr">
        <is>
          <t>Самый дешёвый</t>
        </is>
      </c>
      <c r="E88" s="17" t="inlineStr">
        <is>
          <t>Ласточка, сидячий</t>
        </is>
      </c>
      <c r="F88" s="17" t="inlineStr">
        <is>
          <t>723Р</t>
        </is>
      </c>
      <c r="G88" s="16" t="inlineStr">
        <is>
          <t>28.10 05:35</t>
        </is>
      </c>
      <c r="H88" s="16" t="inlineStr">
        <is>
          <t>28.10 11:13</t>
        </is>
      </c>
      <c r="I88" s="16" t="inlineStr">
        <is>
          <t>Москва, Ленинградский</t>
        </is>
      </c>
      <c r="J88" s="18" t="n">
        <v>1121</v>
      </c>
      <c r="K88" s="18" t="n">
        <v>1121</v>
      </c>
      <c r="L88" s="16" t="inlineStr">
        <is>
          <t>Ленинградский вокзал → через площадь на Казанский (5 мин) → электричка + такси (12:54 → 15:15)</t>
        </is>
      </c>
      <c r="M88" s="16" t="inlineStr">
        <is>
          <t>~15:30</t>
        </is>
      </c>
      <c r="N88" s="16" t="inlineStr">
        <is>
          <t>28.10 04:50 МСК → 28.10 15:30 МСК</t>
        </is>
      </c>
      <c r="O88" s="15" t="inlineStr">
        <is>
          <t>10 ч 40 мин</t>
        </is>
      </c>
      <c r="P88" s="16" t="inlineStr"/>
      <c r="Q88" s="19" t="inlineStr">
        <is>
          <t>https://www.tutu.ru/poezda/rasp_d.php?date=28.10.2026&amp;nnst1=2004000&amp;nnst2=2000000</t>
        </is>
      </c>
      <c r="R88" s="16" t="inlineStr">
        <is>
          <t>Самый дешёвый, но подъём ~04:00</t>
        </is>
      </c>
      <c r="S88" s="16" t="inlineStr">
        <is>
          <t>проверить</t>
        </is>
      </c>
    </row>
    <row r="89">
      <c r="A89" s="5" t="inlineStr">
        <is>
          <t>Санкт-Петербург</t>
        </is>
      </c>
      <c r="B89" s="5" t="n">
        <v>1</v>
      </c>
      <c r="C89" s="10" t="inlineStr">
        <is>
          <t>Туда</t>
        </is>
      </c>
      <c r="D89" s="10" t="inlineStr">
        <is>
          <t>Удобный</t>
        </is>
      </c>
      <c r="E89" s="10" t="inlineStr">
        <is>
          <t>Сапсан</t>
        </is>
      </c>
      <c r="F89" s="10" t="inlineStr">
        <is>
          <t>759А</t>
        </is>
      </c>
      <c r="G89" s="5" t="inlineStr">
        <is>
          <t>28.10 09:00</t>
        </is>
      </c>
      <c r="H89" s="5" t="inlineStr">
        <is>
          <t>28.10 13:15</t>
        </is>
      </c>
      <c r="I89" s="5" t="inlineStr">
        <is>
          <t>Москва, Ленинградский</t>
        </is>
      </c>
      <c r="J89" s="9" t="n">
        <v>4424</v>
      </c>
      <c r="K89" s="9" t="n">
        <v>4424</v>
      </c>
      <c r="L89" s="5" t="inlineStr">
        <is>
          <t>Ленинградский вокзал → через площадь на Казанский (5 мин) → электричка + такси (РЭКС 13:35 → 15:22)</t>
        </is>
      </c>
      <c r="M89" s="5" t="inlineStr">
        <is>
          <t>~15:40</t>
        </is>
      </c>
      <c r="N89" s="5" t="inlineStr">
        <is>
          <t>28.10 08:15 МСК → 28.10 15:40 МСК</t>
        </is>
      </c>
      <c r="O89" s="20" t="inlineStr">
        <is>
          <t>7 ч 25 мин</t>
        </is>
      </c>
      <c r="P89" s="5" t="inlineStr"/>
      <c r="Q89" s="21" t="inlineStr">
        <is>
          <t>https://www.tutu.ru/poezda/rasp_d.php?date=28.10.2026&amp;nnst1=2004000&amp;nnst2=2000000</t>
        </is>
      </c>
      <c r="R89" s="5" t="inlineStr">
        <is>
          <t>Днём, 4 ч; к экскурсии почти успевает</t>
        </is>
      </c>
      <c r="S89" s="5" t="inlineStr">
        <is>
          <t>проверить</t>
        </is>
      </c>
    </row>
    <row r="90">
      <c r="A90" s="5" t="inlineStr">
        <is>
          <t>Санкт-Петербург</t>
        </is>
      </c>
      <c r="B90" s="5" t="n">
        <v>1</v>
      </c>
      <c r="C90" s="7" t="inlineStr">
        <is>
          <t>Обратно</t>
        </is>
      </c>
      <c r="D90" s="7" t="inlineStr">
        <is>
          <t>Самый дешёвый</t>
        </is>
      </c>
      <c r="E90" s="7" t="inlineStr">
        <is>
          <t>Поезд «Аврора», сидячий</t>
        </is>
      </c>
      <c r="F90" s="7" t="inlineStr">
        <is>
          <t>750У</t>
        </is>
      </c>
      <c r="G90" s="5" t="inlineStr">
        <is>
          <t>30.10 22:30</t>
        </is>
      </c>
      <c r="H90" s="5" t="inlineStr">
        <is>
          <t>31.10 05:00</t>
        </is>
      </c>
      <c r="I90" s="5" t="inlineStr">
        <is>
          <t>СПб, Московский вокзал</t>
        </is>
      </c>
      <c r="J90" s="6" t="n">
        <v>2185</v>
      </c>
      <c r="K90" s="6" t="n">
        <v>2185</v>
      </c>
      <c r="L90" s="5" t="inlineStr">
        <is>
          <t>Электричка 18:43 → Казанский 20:47 → Ленинградский</t>
        </is>
      </c>
      <c r="M90" s="5" t="inlineStr"/>
      <c r="N90" s="5" t="inlineStr">
        <is>
          <t>30.10 18:15 МСК → 31.10 05:45 МСК</t>
        </is>
      </c>
      <c r="O90" s="20" t="inlineStr">
        <is>
          <t>11 ч 30 мин</t>
        </is>
      </c>
      <c r="P90" s="5" t="inlineStr"/>
      <c r="Q90" s="21" t="inlineStr">
        <is>
          <t>https://www.tutu.ru/poezda/rasp_d.php?date=30.10.2026&amp;nnst1=2000000&amp;nnst2=2004000</t>
        </is>
      </c>
      <c r="R90" s="5" t="inlineStr">
        <is>
          <t>Ночь сидя</t>
        </is>
      </c>
      <c r="S90" s="5" t="inlineStr"/>
    </row>
    <row r="91">
      <c r="A91" s="5" t="inlineStr">
        <is>
          <t>Санкт-Петербург</t>
        </is>
      </c>
      <c r="B91" s="5" t="n">
        <v>1</v>
      </c>
      <c r="C91" s="10" t="inlineStr">
        <is>
          <t>Обратно</t>
        </is>
      </c>
      <c r="D91" s="10" t="inlineStr">
        <is>
          <t>Удобный</t>
        </is>
      </c>
      <c r="E91" s="10" t="inlineStr">
        <is>
          <t>Поезд «Аврора», сидячий</t>
        </is>
      </c>
      <c r="F91" s="10" t="inlineStr">
        <is>
          <t>744У</t>
        </is>
      </c>
      <c r="G91" s="5" t="inlineStr">
        <is>
          <t>31.10 13:50</t>
        </is>
      </c>
      <c r="H91" s="5" t="inlineStr">
        <is>
          <t>31.10 19:15</t>
        </is>
      </c>
      <c r="I91" s="5" t="inlineStr">
        <is>
          <t>СПб, Московский вокзал</t>
        </is>
      </c>
      <c r="J91" s="9" t="n">
        <v>2130</v>
      </c>
      <c r="K91" s="9" t="n">
        <v>2130</v>
      </c>
      <c r="L91" s="5" t="inlineStr">
        <is>
          <t>31.10 утро: электричка до Казанского → Ленинградский</t>
        </is>
      </c>
      <c r="M91" s="5" t="inlineStr"/>
      <c r="N91" s="5" t="inlineStr">
        <is>
          <t>31.10 10:30 МСК → 31.10 20:00 МСК</t>
        </is>
      </c>
      <c r="O91" s="20" t="inlineStr">
        <is>
          <t>9 ч 30 мин</t>
        </is>
      </c>
      <c r="P91" s="5" t="inlineStr">
        <is>
          <t>+1 ночь 30→31</t>
        </is>
      </c>
      <c r="Q91" s="21" t="inlineStr">
        <is>
          <t>https://www.tutu.ru/poezda/rasp_d.php?date=31.10.2026&amp;nnst1=2000000&amp;nnst2=2004000</t>
        </is>
      </c>
      <c r="R91" s="5" t="inlineStr">
        <is>
          <t>Днём. Или Сапсан 768А 13:30 → 17:30, 4 666 ₽</t>
        </is>
      </c>
      <c r="S91" s="5" t="inlineStr"/>
    </row>
    <row r="92">
      <c r="A92" s="15" t="inlineStr">
        <is>
          <t>Нижний Новгород</t>
        </is>
      </c>
      <c r="B92" s="16" t="n">
        <v>1</v>
      </c>
      <c r="C92" s="17" t="inlineStr">
        <is>
          <t>Туда</t>
        </is>
      </c>
      <c r="D92" s="17" t="inlineStr">
        <is>
          <t>Самый дешёвый = Удобный</t>
        </is>
      </c>
      <c r="E92" s="17" t="inlineStr">
        <is>
          <t>Поезд «Буревестник», сидячий</t>
        </is>
      </c>
      <c r="F92" s="17" t="inlineStr">
        <is>
          <t>705Э</t>
        </is>
      </c>
      <c r="G92" s="16" t="inlineStr">
        <is>
          <t>28.10 07:20</t>
        </is>
      </c>
      <c r="H92" s="16" t="inlineStr">
        <is>
          <t>28.10 11:34</t>
        </is>
      </c>
      <c r="I92" s="16" t="inlineStr">
        <is>
          <t>Москва, Восточный</t>
        </is>
      </c>
      <c r="J92" s="18" t="n">
        <v>2136</v>
      </c>
      <c r="K92" s="18" t="n">
        <v>2136</v>
      </c>
      <c r="L92" s="16" t="inlineStr">
        <is>
          <t>Восточный вокзал → МЦД/метро до Казанского (~30 мин) → электричка + такси (12:54 → 15:15)</t>
        </is>
      </c>
      <c r="M92" s="16" t="inlineStr">
        <is>
          <t>~15:30</t>
        </is>
      </c>
      <c r="N92" s="16" t="inlineStr">
        <is>
          <t>28.10 06:35 МСК → 28.10 15:30 МСК</t>
        </is>
      </c>
      <c r="O92" s="15" t="inlineStr">
        <is>
          <t>8 ч 55 мин</t>
        </is>
      </c>
      <c r="P92" s="16" t="inlineStr"/>
      <c r="Q92" s="19" t="inlineStr">
        <is>
          <t>https://www.tutu.ru/poezda/rasp_d.php?date=28.10.2026&amp;nnst1=2060000&amp;nnst2=2000000</t>
        </is>
      </c>
      <c r="R92" s="16" t="inlineStr">
        <is>
          <t>Основной вариант — машина с заездом во Владимир (лист «Авто»)</t>
        </is>
      </c>
      <c r="S92" s="16" t="inlineStr">
        <is>
          <t>проверить</t>
        </is>
      </c>
    </row>
    <row r="93">
      <c r="A93" s="5" t="inlineStr">
        <is>
          <t>Нижний Новгород</t>
        </is>
      </c>
      <c r="B93" s="5" t="n">
        <v>1</v>
      </c>
      <c r="C93" s="7" t="inlineStr">
        <is>
          <t>Обратно</t>
        </is>
      </c>
      <c r="D93" s="7" t="inlineStr">
        <is>
          <t>Самый дешёвый</t>
        </is>
      </c>
      <c r="E93" s="7" t="inlineStr">
        <is>
          <t>Ласточка, сидячий</t>
        </is>
      </c>
      <c r="F93" s="7" t="inlineStr">
        <is>
          <t>723Я</t>
        </is>
      </c>
      <c r="G93" s="5" t="inlineStr">
        <is>
          <t>30.10 21:15</t>
        </is>
      </c>
      <c r="H93" s="5" t="inlineStr">
        <is>
          <t>31.10 01:15</t>
        </is>
      </c>
      <c r="I93" s="5" t="inlineStr">
        <is>
          <t>Нижний Новгород</t>
        </is>
      </c>
      <c r="J93" s="6" t="n">
        <v>2347</v>
      </c>
      <c r="K93" s="6" t="n">
        <v>2347</v>
      </c>
      <c r="L93" s="5" t="inlineStr">
        <is>
          <t>Электричка 18:43 → Казанский 20:47 → Восточный</t>
        </is>
      </c>
      <c r="M93" s="5" t="inlineStr"/>
      <c r="N93" s="5" t="inlineStr">
        <is>
          <t>30.10 18:15 МСК → 31.10 02:00 МСК</t>
        </is>
      </c>
      <c r="O93" s="20" t="inlineStr">
        <is>
          <t>7 ч 45 мин</t>
        </is>
      </c>
      <c r="P93" s="5" t="inlineStr"/>
      <c r="Q93" s="21" t="inlineStr">
        <is>
          <t>https://www.tutu.ru/poezda/rasp_d.php?date=30.10.2026&amp;nnst1=2000000&amp;nnst2=2060000</t>
        </is>
      </c>
      <c r="R93" s="5" t="inlineStr">
        <is>
          <t>Дома глубокой ночью</t>
        </is>
      </c>
      <c r="S93" s="5" t="inlineStr"/>
    </row>
    <row r="94">
      <c r="A94" s="5" t="inlineStr">
        <is>
          <t>Нижний Новгород</t>
        </is>
      </c>
      <c r="B94" s="5" t="n">
        <v>1</v>
      </c>
      <c r="C94" s="10" t="inlineStr">
        <is>
          <t>Обратно</t>
        </is>
      </c>
      <c r="D94" s="10" t="inlineStr">
        <is>
          <t>Удобный</t>
        </is>
      </c>
      <c r="E94" s="10" t="inlineStr">
        <is>
          <t>Поезд «Буревестник», сидячий</t>
        </is>
      </c>
      <c r="F94" s="10" t="inlineStr">
        <is>
          <t>703Х</t>
        </is>
      </c>
      <c r="G94" s="5" t="inlineStr">
        <is>
          <t>31.10 13:45</t>
        </is>
      </c>
      <c r="H94" s="5" t="inlineStr">
        <is>
          <t>31.10 17:46</t>
        </is>
      </c>
      <c r="I94" s="5" t="inlineStr">
        <is>
          <t>Нижний Новгород</t>
        </is>
      </c>
      <c r="J94" s="9" t="n">
        <v>2985</v>
      </c>
      <c r="K94" s="9" t="n">
        <v>2985</v>
      </c>
      <c r="L94" s="5" t="inlineStr">
        <is>
          <t>31.10: электричка до Казанского → МЦД до Восточного</t>
        </is>
      </c>
      <c r="M94" s="5" t="inlineStr"/>
      <c r="N94" s="5" t="inlineStr">
        <is>
          <t>31.10 10:45 МСК → 31.10 18:30 МСК</t>
        </is>
      </c>
      <c r="O94" s="20" t="inlineStr">
        <is>
          <t>7 ч 45 мин</t>
        </is>
      </c>
      <c r="P94" s="5" t="inlineStr">
        <is>
          <t>+1 ночь 30→31</t>
        </is>
      </c>
      <c r="Q94" s="21" t="inlineStr">
        <is>
          <t>https://www.tutu.ru/poezda/rasp_d.php?date=31.10.2026&amp;nnst1=2000000&amp;nnst2=2060000</t>
        </is>
      </c>
      <c r="R94" s="5" t="inlineStr">
        <is>
          <t>Днём</t>
        </is>
      </c>
      <c r="S94" s="5" t="inlineStr"/>
    </row>
    <row r="95">
      <c r="A95" s="15" t="inlineStr">
        <is>
          <t>Смоленск</t>
        </is>
      </c>
      <c r="B95" s="16" t="n">
        <v>1</v>
      </c>
      <c r="C95" s="17" t="inlineStr">
        <is>
          <t>Туда</t>
        </is>
      </c>
      <c r="D95" s="17" t="inlineStr">
        <is>
          <t>Самый дешёвый = Удобный</t>
        </is>
      </c>
      <c r="E95" s="17" t="inlineStr">
        <is>
          <t>Ласточка-премиум, сидячий</t>
        </is>
      </c>
      <c r="F95" s="17" t="inlineStr">
        <is>
          <t>738М</t>
        </is>
      </c>
      <c r="G95" s="16" t="inlineStr">
        <is>
          <t>28.10 07:29</t>
        </is>
      </c>
      <c r="H95" s="16" t="inlineStr">
        <is>
          <t>28.10 11:53</t>
        </is>
      </c>
      <c r="I95" s="16" t="inlineStr">
        <is>
          <t>Москва, Белорусский</t>
        </is>
      </c>
      <c r="J95" s="18" t="n">
        <v>1832</v>
      </c>
      <c r="K95" s="18" t="n">
        <v>1832</v>
      </c>
      <c r="L95" s="16" t="inlineStr">
        <is>
          <t>Белорусский → метро до Комсомольской (~15 мин) → электричка + такси (12:54 → 15:15)</t>
        </is>
      </c>
      <c r="M95" s="16" t="inlineStr">
        <is>
          <t>~15:30</t>
        </is>
      </c>
      <c r="N95" s="16" t="inlineStr">
        <is>
          <t>28.10 06:45 МСК → 28.10 15:30 МСК</t>
        </is>
      </c>
      <c r="O95" s="15" t="inlineStr">
        <is>
          <t>8 ч 45 мин</t>
        </is>
      </c>
      <c r="P95" s="16" t="inlineStr"/>
      <c r="Q95" s="19" t="inlineStr">
        <is>
          <t>https://www.tutu.ru/poezda/rasp_d.php?date=28.10.2026&amp;nnst1=2000170&amp;nnst2=2000000</t>
        </is>
      </c>
      <c r="R95" s="16" t="inlineStr">
        <is>
          <t>К экскурсии в 16:00 успевает</t>
        </is>
      </c>
      <c r="S95" s="16" t="inlineStr">
        <is>
          <t>проверить</t>
        </is>
      </c>
    </row>
    <row r="96">
      <c r="A96" s="5" t="inlineStr">
        <is>
          <t>Смоленск</t>
        </is>
      </c>
      <c r="B96" s="5" t="n">
        <v>1</v>
      </c>
      <c r="C96" s="7" t="inlineStr">
        <is>
          <t>Обратно</t>
        </is>
      </c>
      <c r="D96" s="7" t="inlineStr">
        <is>
          <t>Самый дешёвый</t>
        </is>
      </c>
      <c r="E96" s="7" t="inlineStr">
        <is>
          <t>Поезд, купе</t>
        </is>
      </c>
      <c r="F96" s="7" t="inlineStr">
        <is>
          <t>027Б</t>
        </is>
      </c>
      <c r="G96" s="5" t="inlineStr">
        <is>
          <t>30.10 23:30</t>
        </is>
      </c>
      <c r="H96" s="5" t="inlineStr">
        <is>
          <t>31.10 04:39</t>
        </is>
      </c>
      <c r="I96" s="5" t="inlineStr">
        <is>
          <t>Смоленск</t>
        </is>
      </c>
      <c r="J96" s="6" t="n">
        <v>4022</v>
      </c>
      <c r="K96" s="6" t="n">
        <v>4022</v>
      </c>
      <c r="L96" s="5" t="inlineStr">
        <is>
          <t>Электричка 18:43 → Казанский → метро до Белорусской</t>
        </is>
      </c>
      <c r="M96" s="5" t="inlineStr"/>
      <c r="N96" s="5" t="inlineStr">
        <is>
          <t>30.10 18:15 МСК → 31.10 05:25 МСК</t>
        </is>
      </c>
      <c r="O96" s="20" t="inlineStr">
        <is>
          <t>11 ч 10 мин</t>
        </is>
      </c>
      <c r="P96" s="5" t="inlineStr"/>
      <c r="Q96" s="21" t="inlineStr">
        <is>
          <t>https://www.tutu.ru/poezda/rasp_d.php?date=30.10.2026&amp;nnst1=2000000&amp;nnst2=2000170</t>
        </is>
      </c>
      <c r="R96" s="5" t="inlineStr">
        <is>
          <t>Дома ночью</t>
        </is>
      </c>
      <c r="S96" s="5" t="inlineStr"/>
    </row>
    <row r="97">
      <c r="A97" s="5" t="inlineStr">
        <is>
          <t>Смоленск</t>
        </is>
      </c>
      <c r="B97" s="5" t="n">
        <v>1</v>
      </c>
      <c r="C97" s="10" t="inlineStr">
        <is>
          <t>Обратно</t>
        </is>
      </c>
      <c r="D97" s="10" t="inlineStr">
        <is>
          <t>Удобный</t>
        </is>
      </c>
      <c r="E97" s="10" t="inlineStr">
        <is>
          <t>Ласточка, сидячий</t>
        </is>
      </c>
      <c r="F97" s="10" t="inlineStr">
        <is>
          <t>733Х</t>
        </is>
      </c>
      <c r="G97" s="5" t="inlineStr">
        <is>
          <t>31.10 09:54</t>
        </is>
      </c>
      <c r="H97" s="5" t="inlineStr">
        <is>
          <t>31.10 14:07</t>
        </is>
      </c>
      <c r="I97" s="5" t="inlineStr">
        <is>
          <t>Смоленск</t>
        </is>
      </c>
      <c r="J97" s="9" t="n">
        <v>2595</v>
      </c>
      <c r="K97" s="9" t="n">
        <v>2595</v>
      </c>
      <c r="L97" s="5" t="inlineStr">
        <is>
          <t>31.10 утро: электричка 07:22 → Казанский → метро</t>
        </is>
      </c>
      <c r="M97" s="5" t="inlineStr"/>
      <c r="N97" s="5" t="inlineStr">
        <is>
          <t>31.10 06:45 МСК → 31.10 14:50 МСК</t>
        </is>
      </c>
      <c r="O97" s="20" t="inlineStr">
        <is>
          <t>8 ч 05 мин</t>
        </is>
      </c>
      <c r="P97" s="5" t="inlineStr">
        <is>
          <t>+1 ночь 30→31</t>
        </is>
      </c>
      <c r="Q97" s="21" t="inlineStr">
        <is>
          <t>https://www.tutu.ru/poezda/rasp_d.php?date=31.10.2026&amp;nnst1=2000000&amp;nnst2=2000170</t>
        </is>
      </c>
      <c r="R97" s="5" t="inlineStr">
        <is>
          <t>Днём. Или машина ~520 км</t>
        </is>
      </c>
      <c r="S97" s="5" t="inlineStr"/>
    </row>
    <row r="98">
      <c r="A98" s="15" t="inlineStr">
        <is>
          <t>Тверь</t>
        </is>
      </c>
      <c r="B98" s="16" t="n">
        <v>1</v>
      </c>
      <c r="C98" s="17" t="inlineStr">
        <is>
          <t>Туда</t>
        </is>
      </c>
      <c r="D98" s="17" t="inlineStr">
        <is>
          <t>Самый дешёвый</t>
        </is>
      </c>
      <c r="E98" s="17" t="inlineStr">
        <is>
          <t>Поезд «Аврора», сидячий</t>
        </is>
      </c>
      <c r="F98" s="17" t="inlineStr">
        <is>
          <t>741У</t>
        </is>
      </c>
      <c r="G98" s="16" t="inlineStr">
        <is>
          <t>28.10 10:16</t>
        </is>
      </c>
      <c r="H98" s="16" t="inlineStr">
        <is>
          <t>28.10 11:55</t>
        </is>
      </c>
      <c r="I98" s="16" t="inlineStr">
        <is>
          <t>Москва, Ленинградский</t>
        </is>
      </c>
      <c r="J98" s="18" t="n">
        <v>695</v>
      </c>
      <c r="K98" s="18" t="n">
        <v>695</v>
      </c>
      <c r="L98" s="16" t="inlineStr">
        <is>
          <t>Ленинградский вокзал → через площадь на Казанский (5 мин) → электричка + такси (12:54 → 15:15)</t>
        </is>
      </c>
      <c r="M98" s="16" t="inlineStr">
        <is>
          <t>~15:30</t>
        </is>
      </c>
      <c r="N98" s="16" t="inlineStr">
        <is>
          <t>28.10 09:30 МСК → 28.10 15:30 МСК</t>
        </is>
      </c>
      <c r="O98" s="15" t="inlineStr">
        <is>
          <t>6 ч 00 мин</t>
        </is>
      </c>
      <c r="P98" s="16" t="inlineStr"/>
      <c r="Q98" s="19" t="inlineStr">
        <is>
          <t>https://www.tutu.ru/poezda/rasp_d.php?date=28.10.2026&amp;nnst1=2004600&amp;nnst2=2000000</t>
        </is>
      </c>
      <c r="R98" s="16" t="inlineStr"/>
      <c r="S98" s="16" t="inlineStr">
        <is>
          <t>проверить</t>
        </is>
      </c>
    </row>
    <row r="99">
      <c r="A99" s="5" t="inlineStr">
        <is>
          <t>Тверь</t>
        </is>
      </c>
      <c r="B99" s="5" t="n">
        <v>1</v>
      </c>
      <c r="C99" s="10" t="inlineStr">
        <is>
          <t>Туда</t>
        </is>
      </c>
      <c r="D99" s="10" t="inlineStr">
        <is>
          <t>Удобный</t>
        </is>
      </c>
      <c r="E99" s="10" t="inlineStr">
        <is>
          <t>Своя машина</t>
        </is>
      </c>
      <c r="F99" s="10" t="inlineStr"/>
      <c r="G99" s="5" t="inlineStr">
        <is>
          <t>28.10 ~09:30</t>
        </is>
      </c>
      <c r="H99" s="5" t="inlineStr">
        <is>
          <t>28.10 ~13:30</t>
        </is>
      </c>
      <c r="I99" s="5" t="inlineStr">
        <is>
          <t>Коломна</t>
        </is>
      </c>
      <c r="J99" s="9" t="n">
        <v>1885</v>
      </c>
      <c r="K99" s="9" t="n">
        <v>1885</v>
      </c>
      <c r="L99" s="5" t="inlineStr">
        <is>
          <t>~290 км через ЦКАД, ~4 ч</t>
        </is>
      </c>
      <c r="M99" s="5" t="inlineStr">
        <is>
          <t>~13:30</t>
        </is>
      </c>
      <c r="N99" s="5" t="inlineStr">
        <is>
          <t>28.10 09:30 МСК → 28.10 13:30 МСК</t>
        </is>
      </c>
      <c r="O99" s="20" t="inlineStr">
        <is>
          <t>4 ч 00 мин</t>
        </is>
      </c>
      <c r="P99" s="5" t="inlineStr"/>
      <c r="Q99" s="5" t="inlineStr"/>
      <c r="R99" s="5" t="inlineStr">
        <is>
          <t>Топливо ~3 770 ₽ туда-обратно на машину</t>
        </is>
      </c>
      <c r="S99" s="5" t="inlineStr"/>
    </row>
    <row r="100">
      <c r="A100" s="5" t="inlineStr">
        <is>
          <t>Тверь</t>
        </is>
      </c>
      <c r="B100" s="5" t="n">
        <v>1</v>
      </c>
      <c r="C100" s="7" t="inlineStr">
        <is>
          <t>Обратно</t>
        </is>
      </c>
      <c r="D100" s="7" t="inlineStr">
        <is>
          <t>Самый дешёвый</t>
        </is>
      </c>
      <c r="E100" s="7" t="inlineStr">
        <is>
          <t>Поезд «Аврора», сидячий</t>
        </is>
      </c>
      <c r="F100" s="7" t="inlineStr">
        <is>
          <t>750У</t>
        </is>
      </c>
      <c r="G100" s="5" t="inlineStr">
        <is>
          <t>30.10 22:30</t>
        </is>
      </c>
      <c r="H100" s="5" t="inlineStr">
        <is>
          <t>31.10 ~00:05</t>
        </is>
      </c>
      <c r="I100" s="5" t="inlineStr">
        <is>
          <t>Тверь</t>
        </is>
      </c>
      <c r="J100" s="6" t="n">
        <v>1000</v>
      </c>
      <c r="K100" s="6" t="n">
        <v>1000</v>
      </c>
      <c r="L100" s="5" t="inlineStr">
        <is>
          <t>Электричка 18:43 → Казанский 20:47 → Ленинградский</t>
        </is>
      </c>
      <c r="M100" s="5" t="inlineStr"/>
      <c r="N100" s="5" t="inlineStr">
        <is>
          <t>30.10 18:15 МСК → 31.10 00:50 МСК</t>
        </is>
      </c>
      <c r="O100" s="20" t="inlineStr">
        <is>
          <t>6 ч 35 мин</t>
        </is>
      </c>
      <c r="P100" s="5" t="inlineStr"/>
      <c r="Q100" s="21" t="inlineStr">
        <is>
          <t>https://www.tutu.ru/poezda/rasp_d.php?date=30.10.2026&amp;nnst1=2000000&amp;nnst2=2004600</t>
        </is>
      </c>
      <c r="R100" s="5" t="inlineStr">
        <is>
          <t>Цена ориентировочная</t>
        </is>
      </c>
      <c r="S100" s="5" t="inlineStr"/>
    </row>
    <row r="101">
      <c r="A101" s="15" t="inlineStr">
        <is>
          <t>Рязань</t>
        </is>
      </c>
      <c r="B101" s="16" t="n">
        <v>1</v>
      </c>
      <c r="C101" s="17" t="inlineStr">
        <is>
          <t>Туда</t>
        </is>
      </c>
      <c r="D101" s="17" t="inlineStr">
        <is>
          <t>Самый дешёвый</t>
        </is>
      </c>
      <c r="E101" s="17" t="inlineStr">
        <is>
          <t>Электричка «Стандарт плюс»</t>
        </is>
      </c>
      <c r="F101" s="17" t="inlineStr">
        <is>
          <t>6993</t>
        </is>
      </c>
      <c r="G101" s="16" t="inlineStr">
        <is>
          <t>28.10 05:18</t>
        </is>
      </c>
      <c r="H101" s="16" t="inlineStr">
        <is>
          <t>28.10 06:54</t>
        </is>
      </c>
      <c r="I101" s="16" t="inlineStr">
        <is>
          <t>Коломна</t>
        </is>
      </c>
      <c r="J101" s="18" t="n">
        <v>306</v>
      </c>
      <c r="K101" s="18" t="n">
        <v>306</v>
      </c>
      <c r="L101" s="16" t="inlineStr">
        <is>
          <t>Ст. Коломна → такси 10 мин (~300 ₽)</t>
        </is>
      </c>
      <c r="M101" s="16" t="inlineStr">
        <is>
          <t>~07:10</t>
        </is>
      </c>
      <c r="N101" s="16" t="inlineStr">
        <is>
          <t>28.10 04:45 МСК → 28.10 07:10 МСК</t>
        </is>
      </c>
      <c r="O101" s="15" t="inlineStr">
        <is>
          <t>2 ч 25 мин</t>
        </is>
      </c>
      <c r="P101" s="16" t="inlineStr">
        <is>
          <t>ранний заезд</t>
        </is>
      </c>
      <c r="Q101" s="19" t="inlineStr">
        <is>
          <t>https://www.tutu.ru/rasp.php?st1=92502&amp;st2=11902&amp;date=28.10.2026</t>
        </is>
      </c>
      <c r="R101" s="16" t="inlineStr">
        <is>
          <t>Следующая только 14:36 (→16:17)</t>
        </is>
      </c>
      <c r="S101" s="16" t="inlineStr">
        <is>
          <t>проверить</t>
        </is>
      </c>
    </row>
    <row r="102">
      <c r="A102" s="5" t="inlineStr">
        <is>
          <t>Рязань</t>
        </is>
      </c>
      <c r="B102" s="5" t="n">
        <v>1</v>
      </c>
      <c r="C102" s="10" t="inlineStr">
        <is>
          <t>Туда</t>
        </is>
      </c>
      <c r="D102" s="10" t="inlineStr">
        <is>
          <t>Удобный</t>
        </is>
      </c>
      <c r="E102" s="10" t="inlineStr">
        <is>
          <t>Своя машина</t>
        </is>
      </c>
      <c r="F102" s="10" t="inlineStr"/>
      <c r="G102" s="5" t="inlineStr">
        <is>
          <t>28.10 ~12:30</t>
        </is>
      </c>
      <c r="H102" s="5" t="inlineStr">
        <is>
          <t>28.10 ~14:00</t>
        </is>
      </c>
      <c r="I102" s="5" t="inlineStr">
        <is>
          <t>Коломна</t>
        </is>
      </c>
      <c r="J102" s="9" t="n">
        <v>650</v>
      </c>
      <c r="K102" s="9" t="n">
        <v>650</v>
      </c>
      <c r="L102" s="5" t="inlineStr">
        <is>
          <t>~100 км, ~1 ч 30 мин</t>
        </is>
      </c>
      <c r="M102" s="5" t="inlineStr">
        <is>
          <t>~14:00</t>
        </is>
      </c>
      <c r="N102" s="5" t="inlineStr">
        <is>
          <t>28.10 12:30 МСК → 28.10 14:00 МСК</t>
        </is>
      </c>
      <c r="O102" s="20" t="inlineStr">
        <is>
          <t>1 ч 30 мин</t>
        </is>
      </c>
      <c r="P102" s="5" t="inlineStr"/>
      <c r="Q102" s="5" t="inlineStr"/>
      <c r="R102" s="5" t="inlineStr">
        <is>
          <t>Топливо ~1 300 ₽ туда-обратно</t>
        </is>
      </c>
      <c r="S102" s="5" t="inlineStr"/>
    </row>
    <row r="103">
      <c r="A103" s="5" t="inlineStr">
        <is>
          <t>Рязань</t>
        </is>
      </c>
      <c r="B103" s="5" t="n">
        <v>1</v>
      </c>
      <c r="C103" s="7" t="inlineStr">
        <is>
          <t>Обратно</t>
        </is>
      </c>
      <c r="D103" s="7" t="inlineStr">
        <is>
          <t>Самый дешёвый</t>
        </is>
      </c>
      <c r="E103" s="7" t="inlineStr">
        <is>
          <t>Электричка «Стандарт плюс»</t>
        </is>
      </c>
      <c r="F103" s="7" t="inlineStr">
        <is>
          <t>6996</t>
        </is>
      </c>
      <c r="G103" s="5" t="inlineStr">
        <is>
          <t>30.10 21:16</t>
        </is>
      </c>
      <c r="H103" s="5" t="inlineStr">
        <is>
          <t>30.10 22:49</t>
        </is>
      </c>
      <c r="I103" s="5" t="inlineStr">
        <is>
          <t>Рязань-1</t>
        </is>
      </c>
      <c r="J103" s="6" t="n">
        <v>306</v>
      </c>
      <c r="K103" s="6" t="n">
        <v>306</v>
      </c>
      <c r="L103" s="5" t="inlineStr">
        <is>
          <t>Такси до ст. Коломна (~300 ₽)</t>
        </is>
      </c>
      <c r="M103" s="5" t="inlineStr"/>
      <c r="N103" s="5" t="inlineStr">
        <is>
          <t>30.10 21:00 МСК → 30.10 23:35 МСК</t>
        </is>
      </c>
      <c r="O103" s="20" t="inlineStr">
        <is>
          <t>2 ч 35 мин</t>
        </is>
      </c>
      <c r="P103" s="5" t="inlineStr"/>
      <c r="Q103" s="21" t="inlineStr">
        <is>
          <t>https://www.tutu.ru/rasp.php?st1=11902&amp;st2=92502&amp;date=30.10.2026</t>
        </is>
      </c>
      <c r="R103" s="5" t="inlineStr"/>
      <c r="S103" s="5" t="inlineStr"/>
    </row>
    <row r="104">
      <c r="A104" s="15" t="inlineStr">
        <is>
          <t>Москва</t>
        </is>
      </c>
      <c r="B104" s="16" t="n">
        <v>2</v>
      </c>
      <c r="C104" s="17" t="inlineStr">
        <is>
          <t>Туда</t>
        </is>
      </c>
      <c r="D104" s="17" t="inlineStr">
        <is>
          <t>Самый дешёвый</t>
        </is>
      </c>
      <c r="E104" s="17" t="inlineStr">
        <is>
          <t>Электричка / РЭКС</t>
        </is>
      </c>
      <c r="F104" s="17" t="inlineStr"/>
      <c r="G104" s="16" t="inlineStr">
        <is>
          <t>28.10 09:48 или 12:54</t>
        </is>
      </c>
      <c r="H104" s="16" t="inlineStr">
        <is>
          <t>11:36 / 15:15</t>
        </is>
      </c>
      <c r="I104" s="16" t="inlineStr">
        <is>
          <t>Коломна</t>
        </is>
      </c>
      <c r="J104" s="18" t="n">
        <v>490</v>
      </c>
      <c r="K104" s="18" t="n">
        <v>490</v>
      </c>
      <c r="L104" s="16" t="inlineStr">
        <is>
          <t>Казанский вокзал → электричка до ст. Коломна (490–620 ₽) + такси 10 мин (~300 ₽)</t>
        </is>
      </c>
      <c r="M104" s="16" t="inlineStr">
        <is>
          <t>~12:00 / ~15:30</t>
        </is>
      </c>
      <c r="N104" s="16" t="inlineStr">
        <is>
          <t>28.10 08:45 МСК → 28.10 12:00 МСК</t>
        </is>
      </c>
      <c r="O104" s="15" t="inlineStr">
        <is>
          <t>3 ч 15 мин</t>
        </is>
      </c>
      <c r="P104" s="16" t="inlineStr"/>
      <c r="Q104" s="19" t="inlineStr">
        <is>
          <t>https://www.tutu.ru/prigorod/</t>
        </is>
      </c>
      <c r="R104" s="16" t="inlineStr">
        <is>
          <t>РЭКС 620 ₽</t>
        </is>
      </c>
      <c r="S104" s="16" t="inlineStr">
        <is>
          <t>проверить</t>
        </is>
      </c>
    </row>
    <row r="105">
      <c r="A105" s="5" t="inlineStr">
        <is>
          <t>Москва</t>
        </is>
      </c>
      <c r="B105" s="5" t="n">
        <v>2</v>
      </c>
      <c r="C105" s="10" t="inlineStr">
        <is>
          <t>Туда</t>
        </is>
      </c>
      <c r="D105" s="10" t="inlineStr">
        <is>
          <t>Удобный</t>
        </is>
      </c>
      <c r="E105" s="10" t="inlineStr">
        <is>
          <t>Своя машина</t>
        </is>
      </c>
      <c r="F105" s="10" t="inlineStr"/>
      <c r="G105" s="5" t="inlineStr">
        <is>
          <t>28.10 ~12:00</t>
        </is>
      </c>
      <c r="H105" s="5" t="inlineStr">
        <is>
          <t>28.10 ~14:00</t>
        </is>
      </c>
      <c r="I105" s="5" t="inlineStr">
        <is>
          <t>Коломна</t>
        </is>
      </c>
      <c r="J105" s="9" t="n">
        <v>750</v>
      </c>
      <c r="K105" s="9" t="n">
        <v>750</v>
      </c>
      <c r="L105" s="5" t="inlineStr">
        <is>
          <t>~115 км, ~2 ч с пробками</t>
        </is>
      </c>
      <c r="M105" s="5" t="inlineStr">
        <is>
          <t>~14:00</t>
        </is>
      </c>
      <c r="N105" s="5" t="inlineStr">
        <is>
          <t>28.10 12:00 МСК → 28.10 14:00 МСК</t>
        </is>
      </c>
      <c r="O105" s="20" t="inlineStr">
        <is>
          <t>2 ч 00 мин</t>
        </is>
      </c>
      <c r="P105" s="5" t="inlineStr"/>
      <c r="Q105" s="5" t="inlineStr"/>
      <c r="R105" s="5" t="inlineStr">
        <is>
          <t>Топливо ~1 500 ₽ туда-обратно</t>
        </is>
      </c>
      <c r="S105" s="5" t="inlineStr"/>
    </row>
    <row r="106">
      <c r="A106" s="5" t="inlineStr">
        <is>
          <t>Москва</t>
        </is>
      </c>
      <c r="B106" s="5" t="n">
        <v>2</v>
      </c>
      <c r="C106" s="7" t="inlineStr">
        <is>
          <t>Обратно</t>
        </is>
      </c>
      <c r="D106" s="7" t="inlineStr">
        <is>
          <t>Самый дешёвый = Удобный</t>
        </is>
      </c>
      <c r="E106" s="7" t="inlineStr">
        <is>
          <t>Электричка или машина</t>
        </is>
      </c>
      <c r="F106" s="7" t="inlineStr"/>
      <c r="G106" s="5" t="inlineStr">
        <is>
          <t>30.10 18:43</t>
        </is>
      </c>
      <c r="H106" s="5" t="inlineStr">
        <is>
          <t>30.10 20:47</t>
        </is>
      </c>
      <c r="I106" s="5" t="inlineStr">
        <is>
          <t>Москва, Казанский</t>
        </is>
      </c>
      <c r="J106" s="6" t="n">
        <v>490</v>
      </c>
      <c r="K106" s="6" t="n">
        <v>490</v>
      </c>
      <c r="L106" s="5" t="inlineStr">
        <is>
          <t>Электричка 18:43 → 20:47</t>
        </is>
      </c>
      <c r="M106" s="5" t="inlineStr"/>
      <c r="N106" s="5" t="inlineStr">
        <is>
          <t>30.10 18:15 МСК → 30.10 21:45 МСК</t>
        </is>
      </c>
      <c r="O106" s="20" t="inlineStr">
        <is>
          <t>3 ч 30 мин</t>
        </is>
      </c>
      <c r="P106" s="5" t="inlineStr"/>
      <c r="Q106" s="21" t="inlineStr">
        <is>
          <t>https://www.tutu.ru/prigorod/</t>
        </is>
      </c>
      <c r="R106" s="5" t="inlineStr"/>
      <c r="S106" s="5" t="inlineStr"/>
    </row>
    <row r="107">
      <c r="A107" s="15" t="inlineStr">
        <is>
          <t>Пенза</t>
        </is>
      </c>
      <c r="B107" s="16" t="n">
        <v>1</v>
      </c>
      <c r="C107" s="16" t="inlineStr">
        <is>
          <t>Туда (27.10)</t>
        </is>
      </c>
      <c r="D107" s="16" t="inlineStr">
        <is>
          <t>Альтернатива: поезд</t>
        </is>
      </c>
      <c r="E107" s="16" t="inlineStr">
        <is>
          <t>Поезд «Сура», купе</t>
        </is>
      </c>
      <c r="F107" s="16" t="inlineStr">
        <is>
          <t>052М</t>
        </is>
      </c>
      <c r="G107" s="16" t="inlineStr">
        <is>
          <t>27.10 21:35</t>
        </is>
      </c>
      <c r="H107" s="16" t="inlineStr">
        <is>
          <t>28.10 07:59</t>
        </is>
      </c>
      <c r="I107" s="16" t="inlineStr">
        <is>
          <t>Москва, Казанский</t>
        </is>
      </c>
      <c r="J107" s="22" t="n">
        <v>3967</v>
      </c>
      <c r="K107" s="22" t="n">
        <v>3967</v>
      </c>
      <c r="L107" s="16" t="inlineStr">
        <is>
          <t>Казанский вокзал → электричка до ст. Коломна (490–620 ₽) + такси 10 мин (~300 ₽) (09:48 → 11:36)</t>
        </is>
      </c>
      <c r="M107" s="16" t="inlineStr">
        <is>
          <t>~12:00</t>
        </is>
      </c>
      <c r="N107" s="16" t="inlineStr">
        <is>
          <t>27.10 20:50 МСК → 28.10 12:00 МСК</t>
        </is>
      </c>
      <c r="O107" s="15" t="inlineStr">
        <is>
          <t>15 ч 10 мин</t>
        </is>
      </c>
      <c r="P107" s="16" t="inlineStr"/>
      <c r="Q107" s="19" t="inlineStr">
        <is>
          <t>https://www.tutu.ru/poezda/rasp_d.php?date=27.10.2026&amp;nnst1=2024120&amp;nnst2=2000000</t>
        </is>
      </c>
      <c r="R107" s="16" t="inlineStr">
        <is>
          <t>Основной вариант — машина (лист «Авто»)</t>
        </is>
      </c>
      <c r="S107" s="16" t="inlineStr">
        <is>
          <t>проверить</t>
        </is>
      </c>
    </row>
    <row r="108">
      <c r="A108" s="15" t="inlineStr">
        <is>
          <t>Саранск</t>
        </is>
      </c>
      <c r="B108" s="16" t="n">
        <v>1</v>
      </c>
      <c r="C108" s="16" t="inlineStr">
        <is>
          <t>Туда (27.10)</t>
        </is>
      </c>
      <c r="D108" s="16" t="inlineStr">
        <is>
          <t>Альтернатива: поезд</t>
        </is>
      </c>
      <c r="E108" s="16" t="inlineStr">
        <is>
          <t>Поезд, купе</t>
        </is>
      </c>
      <c r="F108" s="16" t="inlineStr">
        <is>
          <t>041Й</t>
        </is>
      </c>
      <c r="G108" s="16" t="inlineStr">
        <is>
          <t>27.10 20:40</t>
        </is>
      </c>
      <c r="H108" s="16" t="inlineStr">
        <is>
          <t>28.10 05:50</t>
        </is>
      </c>
      <c r="I108" s="16" t="inlineStr">
        <is>
          <t>Москва, Казанский</t>
        </is>
      </c>
      <c r="J108" s="22" t="n">
        <v>4394</v>
      </c>
      <c r="K108" s="22" t="n">
        <v>4394</v>
      </c>
      <c r="L108" s="16" t="inlineStr">
        <is>
          <t>Казанский вокзал → электричка до ст. Коломна (490–620 ₽) + такси 10 мин (~300 ₽) (07:22 → 09:15)</t>
        </is>
      </c>
      <c r="M108" s="16" t="inlineStr">
        <is>
          <t>~09:30</t>
        </is>
      </c>
      <c r="N108" s="16" t="inlineStr">
        <is>
          <t>27.10 19:55 МСК → 28.10 09:30 МСК</t>
        </is>
      </c>
      <c r="O108" s="15" t="inlineStr">
        <is>
          <t>13 ч 35 мин</t>
        </is>
      </c>
      <c r="P108" s="16" t="inlineStr">
        <is>
          <t>ранний заезд</t>
        </is>
      </c>
      <c r="Q108" s="19" t="inlineStr">
        <is>
          <t>https://www.tutu.ru/poezda/rasp_d.php?date=27.10.2026&amp;nnst1=2024700&amp;nnst2=2000000</t>
        </is>
      </c>
      <c r="R108" s="16" t="inlineStr">
        <is>
          <t>Основной вариант — машина</t>
        </is>
      </c>
      <c r="S108" s="16" t="inlineStr">
        <is>
          <t>проверить</t>
        </is>
      </c>
    </row>
    <row r="109">
      <c r="A109" s="15" t="inlineStr">
        <is>
          <t>Тамбов</t>
        </is>
      </c>
      <c r="B109" s="16" t="n">
        <v>1</v>
      </c>
      <c r="C109" s="16" t="inlineStr">
        <is>
          <t>Туда (27.10)</t>
        </is>
      </c>
      <c r="D109" s="16" t="inlineStr">
        <is>
          <t>Альтернатива: поезд</t>
        </is>
      </c>
      <c r="E109" s="16" t="inlineStr">
        <is>
          <t>Поезд, купе</t>
        </is>
      </c>
      <c r="F109" s="16" t="inlineStr">
        <is>
          <t>135Ж</t>
        </is>
      </c>
      <c r="G109" s="16" t="inlineStr">
        <is>
          <t>27.10 21:56</t>
        </is>
      </c>
      <c r="H109" s="16" t="inlineStr">
        <is>
          <t>28.10 07:22</t>
        </is>
      </c>
      <c r="I109" s="16" t="inlineStr">
        <is>
          <t>Москва, Павелецкий</t>
        </is>
      </c>
      <c r="J109" s="22" t="n">
        <v>2868</v>
      </c>
      <c r="K109" s="22" t="n">
        <v>2868</v>
      </c>
      <c r="L109" s="16" t="inlineStr">
        <is>
          <t>Павелецкий → метро до Комсомольской (~20 мин) → электричка от Казанского + такси (08:47 РЭКС → 10:28)</t>
        </is>
      </c>
      <c r="M109" s="16" t="inlineStr">
        <is>
          <t>~10:45</t>
        </is>
      </c>
      <c r="N109" s="16" t="inlineStr">
        <is>
          <t>27.10 21:10 МСК → 28.10 10:45 МСК</t>
        </is>
      </c>
      <c r="O109" s="15" t="inlineStr">
        <is>
          <t>13 ч 35 мин</t>
        </is>
      </c>
      <c r="P109" s="16" t="inlineStr"/>
      <c r="Q109" s="19" t="inlineStr">
        <is>
          <t>https://www.tutu.ru/poezda/rasp_d.php?date=27.10.2026&amp;nnst1=2014700&amp;nnst2=2000000</t>
        </is>
      </c>
      <c r="R109" s="16" t="inlineStr">
        <is>
          <t>Основной вариант — машина</t>
        </is>
      </c>
      <c r="S109" s="16" t="inlineStr">
        <is>
          <t>проверить</t>
        </is>
      </c>
    </row>
    <row r="110">
      <c r="A110" s="15" t="inlineStr">
        <is>
          <t>Липецк</t>
        </is>
      </c>
      <c r="B110" s="16" t="n">
        <v>3</v>
      </c>
      <c r="C110" s="16" t="inlineStr">
        <is>
          <t>Туда (27.10)</t>
        </is>
      </c>
      <c r="D110" s="16" t="inlineStr">
        <is>
          <t>Альтернатива: поезд</t>
        </is>
      </c>
      <c r="E110" s="16" t="inlineStr">
        <is>
          <t>Поезд, купе</t>
        </is>
      </c>
      <c r="F110" s="16" t="inlineStr">
        <is>
          <t>033С</t>
        </is>
      </c>
      <c r="G110" s="16" t="inlineStr">
        <is>
          <t>27.10 23:15</t>
        </is>
      </c>
      <c r="H110" s="16" t="inlineStr">
        <is>
          <t>28.10 08:08</t>
        </is>
      </c>
      <c r="I110" s="16" t="inlineStr">
        <is>
          <t>Москва, Павелецкий</t>
        </is>
      </c>
      <c r="J110" s="22" t="n">
        <v>4049</v>
      </c>
      <c r="K110" s="22" t="n">
        <v>4049</v>
      </c>
      <c r="L110" s="16" t="inlineStr">
        <is>
          <t>Павелецкий → метро до Комсомольской (~20 мин) → электричка от Казанского + такси (09:48 → 11:36)</t>
        </is>
      </c>
      <c r="M110" s="16" t="inlineStr">
        <is>
          <t>~12:00</t>
        </is>
      </c>
      <c r="N110" s="16" t="inlineStr">
        <is>
          <t>27.10 22:30 МСК → 28.10 12:00 МСК</t>
        </is>
      </c>
      <c r="O110" s="15" t="inlineStr">
        <is>
          <t>13 ч 30 мин</t>
        </is>
      </c>
      <c r="P110" s="16" t="inlineStr"/>
      <c r="Q110" s="19" t="inlineStr">
        <is>
          <t>https://www.tutu.ru/poezda/rasp_d.php?date=27.10.2026&amp;nnst1=2014130&amp;nnst2=2000000</t>
        </is>
      </c>
      <c r="R110" s="16" t="inlineStr">
        <is>
          <t>Основной вариант — одна машина на троих</t>
        </is>
      </c>
      <c r="S110" s="16" t="inlineStr">
        <is>
          <t>проверить</t>
        </is>
      </c>
    </row>
    <row r="111">
      <c r="A111" s="15" t="inlineStr">
        <is>
          <t>Воронеж</t>
        </is>
      </c>
      <c r="B111" s="16" t="n">
        <v>2</v>
      </c>
      <c r="C111" s="16" t="inlineStr">
        <is>
          <t>Туда (27.10)</t>
        </is>
      </c>
      <c r="D111" s="16" t="inlineStr">
        <is>
          <t>Альтернатива: поезд</t>
        </is>
      </c>
      <c r="E111" s="16" t="inlineStr">
        <is>
          <t>Поезд «Ингушетия», купе</t>
        </is>
      </c>
      <c r="F111" s="16" t="inlineStr">
        <is>
          <t>145С</t>
        </is>
      </c>
      <c r="G111" s="16" t="inlineStr">
        <is>
          <t>27.10 23:17</t>
        </is>
      </c>
      <c r="H111" s="16" t="inlineStr">
        <is>
          <t>28.10 07:24</t>
        </is>
      </c>
      <c r="I111" s="16" t="inlineStr">
        <is>
          <t>Москва, Казанский</t>
        </is>
      </c>
      <c r="J111" s="22" t="n">
        <v>4045</v>
      </c>
      <c r="K111" s="22" t="n">
        <v>4045</v>
      </c>
      <c r="L111" s="16" t="inlineStr">
        <is>
          <t>Казанский вокзал → электричка до ст. Коломна (490–620 ₽) + такси 10 мин (~300 ₽) (08:47 РЭКС → 10:28)</t>
        </is>
      </c>
      <c r="M111" s="16" t="inlineStr">
        <is>
          <t>~10:45</t>
        </is>
      </c>
      <c r="N111" s="16" t="inlineStr">
        <is>
          <t>27.10 22:30 МСК → 28.10 10:45 МСК</t>
        </is>
      </c>
      <c r="O111" s="15" t="inlineStr">
        <is>
          <t>12 ч 15 мин</t>
        </is>
      </c>
      <c r="P111" s="16" t="inlineStr"/>
      <c r="Q111" s="19" t="inlineStr">
        <is>
          <t>https://www.tutu.ru/poezda/rasp_d.php?date=27.10.2026&amp;nnst1=2014000&amp;nnst2=2000000</t>
        </is>
      </c>
      <c r="R111" s="16" t="inlineStr">
        <is>
          <t>Основной вариант — машина</t>
        </is>
      </c>
      <c r="S111" s="16" t="inlineStr">
        <is>
          <t>проверить</t>
        </is>
      </c>
    </row>
    <row r="112">
      <c r="A112" s="15" t="inlineStr">
        <is>
          <t>Орёл</t>
        </is>
      </c>
      <c r="B112" s="16" t="n">
        <v>1</v>
      </c>
      <c r="C112" s="16" t="inlineStr">
        <is>
          <t>Туда (27.10)</t>
        </is>
      </c>
      <c r="D112" s="16" t="inlineStr">
        <is>
          <t>Альтернатива: поезд</t>
        </is>
      </c>
      <c r="E112" s="16" t="inlineStr">
        <is>
          <t>Поезд, купе</t>
        </is>
      </c>
      <c r="F112" s="16" t="inlineStr">
        <is>
          <t>084С</t>
        </is>
      </c>
      <c r="G112" s="16" t="inlineStr">
        <is>
          <t>27.10 23:37</t>
        </is>
      </c>
      <c r="H112" s="16" t="inlineStr">
        <is>
          <t>28.10 08:40</t>
        </is>
      </c>
      <c r="I112" s="16" t="inlineStr">
        <is>
          <t>Москва, Киевский</t>
        </is>
      </c>
      <c r="J112" s="22" t="n">
        <v>3655</v>
      </c>
      <c r="K112" s="22" t="n">
        <v>3655</v>
      </c>
      <c r="L112" s="16" t="inlineStr">
        <is>
          <t>Казанский вокзал → электричка до ст. Коломна (490–620 ₽) + такси 10 мин (~300 ₽)</t>
        </is>
      </c>
      <c r="M112" s="16" t="inlineStr">
        <is>
          <t>~12:00</t>
        </is>
      </c>
      <c r="N112" s="16" t="inlineStr">
        <is>
          <t>27.10 22:50 МСК → 28.10 12:00 МСК</t>
        </is>
      </c>
      <c r="O112" s="15" t="inlineStr">
        <is>
          <t>13 ч 10 мин</t>
        </is>
      </c>
      <c r="P112" s="16" t="inlineStr"/>
      <c r="Q112" s="19" t="inlineStr">
        <is>
          <t>https://www.tutu.ru/poezda/rasp_d.php?date=27.10.2026&amp;nnst1=2000140&amp;nnst2=2000000</t>
        </is>
      </c>
      <c r="R112" s="16" t="inlineStr">
        <is>
          <t>Основной вариант — машина вместе с Брянском</t>
        </is>
      </c>
      <c r="S112" s="16" t="inlineStr">
        <is>
          <t>проверить</t>
        </is>
      </c>
    </row>
    <row r="113">
      <c r="A113" s="15" t="inlineStr">
        <is>
          <t>Брянск</t>
        </is>
      </c>
      <c r="B113" s="16" t="n">
        <v>1</v>
      </c>
      <c r="C113" s="16" t="inlineStr">
        <is>
          <t>Туда (27.10)</t>
        </is>
      </c>
      <c r="D113" s="16" t="inlineStr">
        <is>
          <t>Альтернатива: поезд</t>
        </is>
      </c>
      <c r="E113" s="16" t="inlineStr">
        <is>
          <t>Поезд, купе</t>
        </is>
      </c>
      <c r="F113" s="16" t="inlineStr">
        <is>
          <t>086Щ</t>
        </is>
      </c>
      <c r="G113" s="16" t="inlineStr">
        <is>
          <t>28.10 00:20</t>
        </is>
      </c>
      <c r="H113" s="16" t="inlineStr">
        <is>
          <t>28.10 06:20</t>
        </is>
      </c>
      <c r="I113" s="16" t="inlineStr">
        <is>
          <t>Москва, Киевский</t>
        </is>
      </c>
      <c r="J113" s="22" t="n">
        <v>3180</v>
      </c>
      <c r="K113" s="22" t="n">
        <v>3180</v>
      </c>
      <c r="L113" s="16" t="inlineStr">
        <is>
          <t>Казанский вокзал → электричка до ст. Коломна (490–620 ₽) + такси 10 мин (~300 ₽)</t>
        </is>
      </c>
      <c r="M113" s="16" t="inlineStr">
        <is>
          <t>~09:30</t>
        </is>
      </c>
      <c r="N113" s="16" t="inlineStr">
        <is>
          <t>27.10 23:35 МСК → 28.10 09:30 МСК</t>
        </is>
      </c>
      <c r="O113" s="15" t="inlineStr">
        <is>
          <t>9 ч 55 мин</t>
        </is>
      </c>
      <c r="P113" s="16" t="inlineStr">
        <is>
          <t>ранний заезд</t>
        </is>
      </c>
      <c r="Q113" s="19" t="inlineStr">
        <is>
          <t>https://www.tutu.ru/poezda/rasp_d.php?date=27.10.2026&amp;nnst1=2000427&amp;nnst2=2000000</t>
        </is>
      </c>
      <c r="R113" s="16" t="inlineStr">
        <is>
          <t>Основной вариант — машина</t>
        </is>
      </c>
      <c r="S113" s="16" t="inlineStr">
        <is>
          <t>проверить</t>
        </is>
      </c>
    </row>
    <row r="114">
      <c r="A114" s="15" t="inlineStr">
        <is>
          <t>Ярославль</t>
        </is>
      </c>
      <c r="B114" s="16" t="n">
        <v>1</v>
      </c>
      <c r="C114" s="17" t="inlineStr">
        <is>
          <t>Туда</t>
        </is>
      </c>
      <c r="D114" s="17" t="inlineStr">
        <is>
          <t>Самый дешёвый = Удобный</t>
        </is>
      </c>
      <c r="E114" s="17" t="inlineStr">
        <is>
          <t>Поезд, сидячий</t>
        </is>
      </c>
      <c r="F114" s="17" t="inlineStr">
        <is>
          <t>107Я</t>
        </is>
      </c>
      <c r="G114" s="16" t="inlineStr">
        <is>
          <t>28.10 08:26</t>
        </is>
      </c>
      <c r="H114" s="16" t="inlineStr">
        <is>
          <t>28.10 11:51</t>
        </is>
      </c>
      <c r="I114" s="16" t="inlineStr">
        <is>
          <t>Москва, Ярославский</t>
        </is>
      </c>
      <c r="J114" s="18" t="n">
        <v>1106</v>
      </c>
      <c r="K114" s="18" t="n">
        <v>1106</v>
      </c>
      <c r="L114" s="16" t="inlineStr">
        <is>
          <t>Ярославский вокзал → через площадь на Казанский (5 мин) → электричка + такси (12:54 → 15:15)</t>
        </is>
      </c>
      <c r="M114" s="16" t="inlineStr">
        <is>
          <t>~15:30</t>
        </is>
      </c>
      <c r="N114" s="16" t="inlineStr">
        <is>
          <t>28.10 07:40 МСК → 28.10 15:30 МСК</t>
        </is>
      </c>
      <c r="O114" s="15" t="inlineStr">
        <is>
          <t>7 ч 50 мин</t>
        </is>
      </c>
      <c r="P114" s="16" t="inlineStr"/>
      <c r="Q114" s="19" t="inlineStr">
        <is>
          <t>https://www.tutu.ru/poezda/</t>
        </is>
      </c>
      <c r="R114" s="16" t="inlineStr">
        <is>
          <t>Ярославский вокзал — через площадь от Казанского. Для экскурсии: 101Я 06:55 → 10:22, 1 689 ₽</t>
        </is>
      </c>
      <c r="S114" s="16" t="inlineStr">
        <is>
          <t>проверить</t>
        </is>
      </c>
    </row>
    <row r="115">
      <c r="A115" s="5" t="inlineStr">
        <is>
          <t>Ярославль</t>
        </is>
      </c>
      <c r="B115" s="5" t="n">
        <v>1</v>
      </c>
      <c r="C115" s="7" t="inlineStr">
        <is>
          <t>Обратно</t>
        </is>
      </c>
      <c r="D115" s="7" t="inlineStr">
        <is>
          <t>Самый дешёвый</t>
        </is>
      </c>
      <c r="E115" s="7" t="inlineStr">
        <is>
          <t>Поезд, купе</t>
        </is>
      </c>
      <c r="F115" s="7" t="inlineStr">
        <is>
          <t>042В</t>
        </is>
      </c>
      <c r="G115" s="5" t="inlineStr">
        <is>
          <t>30.10 21:50</t>
        </is>
      </c>
      <c r="H115" s="5" t="inlineStr">
        <is>
          <t>31.10 01:38</t>
        </is>
      </c>
      <c r="I115" s="5" t="inlineStr">
        <is>
          <t>Ярославль</t>
        </is>
      </c>
      <c r="J115" s="6" t="n">
        <v>3058</v>
      </c>
      <c r="K115" s="6" t="n">
        <v>3058</v>
      </c>
      <c r="L115" s="5" t="inlineStr">
        <is>
          <t>Электричка 18:43 → Казанский 20:47 → Ярославский</t>
        </is>
      </c>
      <c r="M115" s="5" t="inlineStr"/>
      <c r="N115" s="5" t="inlineStr">
        <is>
          <t>30.10 18:15 МСК → 31.10 02:25 МСК</t>
        </is>
      </c>
      <c r="O115" s="20" t="inlineStr">
        <is>
          <t>8 ч 10 мин</t>
        </is>
      </c>
      <c r="P115" s="5" t="inlineStr"/>
      <c r="Q115" s="21" t="inlineStr">
        <is>
          <t>https://www.tutu.ru/poezda/</t>
        </is>
      </c>
      <c r="R115" s="5" t="inlineStr">
        <is>
          <t>Дома ночью</t>
        </is>
      </c>
      <c r="S115" s="5" t="inlineStr"/>
    </row>
    <row r="116">
      <c r="A116" s="5" t="inlineStr">
        <is>
          <t>Ярославль</t>
        </is>
      </c>
      <c r="B116" s="5" t="n">
        <v>1</v>
      </c>
      <c r="C116" s="10" t="inlineStr">
        <is>
          <t>Обратно</t>
        </is>
      </c>
      <c r="D116" s="10" t="inlineStr">
        <is>
          <t>Удобный</t>
        </is>
      </c>
      <c r="E116" s="10" t="inlineStr">
        <is>
          <t>Поезд, сидячий</t>
        </is>
      </c>
      <c r="F116" s="10" t="inlineStr">
        <is>
          <t>748Я</t>
        </is>
      </c>
      <c r="G116" s="5" t="inlineStr">
        <is>
          <t>31.10 13:00</t>
        </is>
      </c>
      <c r="H116" s="5" t="inlineStr">
        <is>
          <t>31.10 16:04</t>
        </is>
      </c>
      <c r="I116" s="5" t="inlineStr">
        <is>
          <t>Ярославль</t>
        </is>
      </c>
      <c r="J116" s="9" t="n">
        <v>1716</v>
      </c>
      <c r="K116" s="9" t="n">
        <v>1716</v>
      </c>
      <c r="L116" s="5" t="inlineStr">
        <is>
          <t>31.10 утро: электричка до Казанского → Ярославский (через площадь)</t>
        </is>
      </c>
      <c r="M116" s="5" t="inlineStr"/>
      <c r="N116" s="5" t="inlineStr">
        <is>
          <t>31.10 10:00 МСК → 31.10 16:50 МСК</t>
        </is>
      </c>
      <c r="O116" s="20" t="inlineStr">
        <is>
          <t>6 ч 50 мин</t>
        </is>
      </c>
      <c r="P116" s="5" t="inlineStr">
        <is>
          <t>+1 ночь 30→31</t>
        </is>
      </c>
      <c r="Q116" s="21" t="inlineStr">
        <is>
          <t>https://www.tutu.ru/poezda/</t>
        </is>
      </c>
      <c r="R116" s="5" t="inlineStr">
        <is>
          <t>Днём. Время по расписанию 30.10 — проверить</t>
        </is>
      </c>
      <c r="S116" s="5" t="inlineStr"/>
    </row>
    <row r="117">
      <c r="A117" s="15" t="inlineStr">
        <is>
          <t>Владимир</t>
        </is>
      </c>
      <c r="B117" s="16" t="n">
        <v>1</v>
      </c>
      <c r="C117" s="16" t="inlineStr">
        <is>
          <t>Туда</t>
        </is>
      </c>
      <c r="D117" s="16" t="inlineStr">
        <is>
          <t>Альтернатива: поезд</t>
        </is>
      </c>
      <c r="E117" s="16" t="inlineStr">
        <is>
          <t>Поезд «Буревестник», сидячий</t>
        </is>
      </c>
      <c r="F117" s="16" t="inlineStr">
        <is>
          <t>705Э</t>
        </is>
      </c>
      <c r="G117" s="16" t="inlineStr">
        <is>
          <t>28.10 09:38</t>
        </is>
      </c>
      <c r="H117" s="16" t="inlineStr">
        <is>
          <t>28.10 11:34</t>
        </is>
      </c>
      <c r="I117" s="16" t="inlineStr">
        <is>
          <t>Москва, Восточный</t>
        </is>
      </c>
      <c r="J117" s="22" t="n">
        <v>1736</v>
      </c>
      <c r="K117" s="22" t="n">
        <v>1736</v>
      </c>
      <c r="L117" s="16" t="inlineStr">
        <is>
          <t>Восточный вокзал → МЦД/метро до Казанского (~30 мин) → электричка + такси (12:54 → 15:15)</t>
        </is>
      </c>
      <c r="M117" s="16" t="inlineStr">
        <is>
          <t>~15:30</t>
        </is>
      </c>
      <c r="N117" s="16" t="inlineStr">
        <is>
          <t>28.10 08:50 МСК → 28.10 15:30 МСК</t>
        </is>
      </c>
      <c r="O117" s="15" t="inlineStr">
        <is>
          <t>6 ч 40 мин</t>
        </is>
      </c>
      <c r="P117" s="16" t="inlineStr"/>
      <c r="Q117" s="19" t="inlineStr">
        <is>
          <t>https://www.tutu.ru/poezda/</t>
        </is>
      </c>
      <c r="R117" s="16" t="inlineStr">
        <is>
          <t>Основной вариант — едет в машине из Нижнего Новгорода (лист «Авто»)</t>
        </is>
      </c>
      <c r="S117" s="16" t="inlineStr">
        <is>
          <t>проверить</t>
        </is>
      </c>
    </row>
    <row r="118">
      <c r="A118" s="5" t="inlineStr">
        <is>
          <t>Владимир</t>
        </is>
      </c>
      <c r="B118" s="5" t="n">
        <v>1</v>
      </c>
      <c r="C118" s="5" t="inlineStr">
        <is>
          <t>Обратно</t>
        </is>
      </c>
      <c r="D118" s="5" t="inlineStr">
        <is>
          <t>Альтернатива: поезд</t>
        </is>
      </c>
      <c r="E118" s="5" t="inlineStr">
        <is>
          <t>Ласточка, сидячий</t>
        </is>
      </c>
      <c r="F118" s="5" t="inlineStr">
        <is>
          <t>723Я</t>
        </is>
      </c>
      <c r="G118" s="5" t="inlineStr">
        <is>
          <t>30.10 21:15</t>
        </is>
      </c>
      <c r="H118" s="5" t="inlineStr">
        <is>
          <t>30.10 23:06</t>
        </is>
      </c>
      <c r="I118" s="5" t="inlineStr">
        <is>
          <t>Владимир</t>
        </is>
      </c>
      <c r="J118" s="23" t="n">
        <v>2103</v>
      </c>
      <c r="K118" s="23" t="n">
        <v>2103</v>
      </c>
      <c r="L118" s="5" t="inlineStr">
        <is>
          <t>Электричка 18:43 → Казанский 20:47 → МЦД до Восточного</t>
        </is>
      </c>
      <c r="M118" s="5" t="inlineStr"/>
      <c r="N118" s="5" t="inlineStr">
        <is>
          <t>30.10 18:15 МСК → 30.10 23:50 МСК</t>
        </is>
      </c>
      <c r="O118" s="20" t="inlineStr">
        <is>
          <t>5 ч 35 мин</t>
        </is>
      </c>
      <c r="P118" s="5" t="inlineStr"/>
      <c r="Q118" s="21" t="inlineStr">
        <is>
          <t>https://www.tutu.ru/poezda/</t>
        </is>
      </c>
      <c r="R118" s="5" t="inlineStr"/>
      <c r="S118" s="5" t="inlineStr"/>
    </row>
    <row r="119">
      <c r="A119" s="15" t="inlineStr">
        <is>
          <t>Калуга</t>
        </is>
      </c>
      <c r="B119" s="16" t="n">
        <v>1</v>
      </c>
      <c r="C119" s="16" t="inlineStr">
        <is>
          <t>Туда</t>
        </is>
      </c>
      <c r="D119" s="16" t="inlineStr">
        <is>
          <t>Альтернатива: поезд</t>
        </is>
      </c>
      <c r="E119" s="16" t="inlineStr">
        <is>
          <t>Поезд «Иван Паристый», сидячий</t>
        </is>
      </c>
      <c r="F119" s="16" t="inlineStr">
        <is>
          <t>738А</t>
        </is>
      </c>
      <c r="G119" s="16" t="inlineStr">
        <is>
          <t>28.10 09:08</t>
        </is>
      </c>
      <c r="H119" s="16" t="inlineStr">
        <is>
          <t>28.10 11:05</t>
        </is>
      </c>
      <c r="I119" s="16" t="inlineStr">
        <is>
          <t>Москва, Киевский</t>
        </is>
      </c>
      <c r="J119" s="22" t="n">
        <v>1433</v>
      </c>
      <c r="K119" s="22" t="n">
        <v>1433</v>
      </c>
      <c r="L119" s="16" t="inlineStr">
        <is>
          <t>Киевский → метро до Комсомольской (~25 мин) → электричка + такси (12:54 → 15:15)</t>
        </is>
      </c>
      <c r="M119" s="16" t="inlineStr">
        <is>
          <t>~15:30</t>
        </is>
      </c>
      <c r="N119" s="16" t="inlineStr">
        <is>
          <t>28.10 08:20 МСК → 28.10 15:30 МСК</t>
        </is>
      </c>
      <c r="O119" s="15" t="inlineStr">
        <is>
          <t>7 ч 10 мин</t>
        </is>
      </c>
      <c r="P119" s="16" t="inlineStr"/>
      <c r="Q119" s="19" t="inlineStr">
        <is>
          <t>https://www.tutu.ru/poezda/</t>
        </is>
      </c>
      <c r="R119" s="16" t="inlineStr">
        <is>
          <t>Основной вариант — своя машина (лист «Авто»). Дешевле: 086Щ 03:38, 993 ₽ — ночной подъём</t>
        </is>
      </c>
      <c r="S119" s="16" t="inlineStr">
        <is>
          <t>проверить</t>
        </is>
      </c>
    </row>
    <row r="120">
      <c r="A120" s="5" t="inlineStr">
        <is>
          <t>Калуга</t>
        </is>
      </c>
      <c r="B120" s="5" t="n">
        <v>1</v>
      </c>
      <c r="C120" s="5" t="inlineStr">
        <is>
          <t>Обратно</t>
        </is>
      </c>
      <c r="D120" s="5" t="inlineStr">
        <is>
          <t>Альтернатива: поезд</t>
        </is>
      </c>
      <c r="E120" s="5" t="inlineStr">
        <is>
          <t>Поезд, сидячий</t>
        </is>
      </c>
      <c r="F120" s="5" t="inlineStr">
        <is>
          <t>085Щ</t>
        </is>
      </c>
      <c r="G120" s="5" t="inlineStr">
        <is>
          <t>30.10 22:35</t>
        </is>
      </c>
      <c r="H120" s="5" t="inlineStr">
        <is>
          <t>31.10 01:10</t>
        </is>
      </c>
      <c r="I120" s="5" t="inlineStr">
        <is>
          <t>Калуга</t>
        </is>
      </c>
      <c r="J120" s="23" t="n">
        <v>968</v>
      </c>
      <c r="K120" s="23" t="n">
        <v>968</v>
      </c>
      <c r="L120" s="5" t="inlineStr">
        <is>
          <t>Электричка 18:43 → Казанский 20:47 → метро до Киевской</t>
        </is>
      </c>
      <c r="M120" s="5" t="inlineStr"/>
      <c r="N120" s="5" t="inlineStr">
        <is>
          <t>30.10 18:15 МСК → 31.10 01:55 МСК</t>
        </is>
      </c>
      <c r="O120" s="20" t="inlineStr">
        <is>
          <t>7 ч 40 мин</t>
        </is>
      </c>
      <c r="P120" s="5" t="inlineStr"/>
      <c r="Q120" s="21" t="inlineStr">
        <is>
          <t>https://www.tutu.ru/poezda/</t>
        </is>
      </c>
      <c r="R120" s="5" t="inlineStr">
        <is>
          <t>Дома ночью. Днём 31.10: 739А 13:43 → 15:42, 1 588 ₽</t>
        </is>
      </c>
      <c r="S120" s="5" t="inlineStr"/>
    </row>
    <row r="122">
      <c r="A122" s="14" t="inlineStr">
        <is>
          <t>Время в пути «дверь–дверь»: туда — от выхода из дома до заселения в гостиницу, обратно — от выезда из гостиницы до прихода домой. Считается с учётом разницы во времени; включает дорогу до аэропорта/вокзала (в аэропорту за 2 ч в крупных городах, за 1,5 ч в небольших), ожидание и трансфер. Ночи в поезде входят во время в пути.</t>
        </is>
      </c>
    </row>
  </sheetData>
  <autoFilter ref="A1:S1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7" r:id="rId75"/>
    <hyperlink xmlns:r="http://schemas.openxmlformats.org/officeDocument/2006/relationships" ref="Q78" r:id="rId76"/>
    <hyperlink xmlns:r="http://schemas.openxmlformats.org/officeDocument/2006/relationships" ref="Q79" r:id="rId77"/>
    <hyperlink xmlns:r="http://schemas.openxmlformats.org/officeDocument/2006/relationships" ref="Q80" r:id="rId78"/>
    <hyperlink xmlns:r="http://schemas.openxmlformats.org/officeDocument/2006/relationships" ref="Q81" r:id="rId79"/>
    <hyperlink xmlns:r="http://schemas.openxmlformats.org/officeDocument/2006/relationships" ref="Q82" r:id="rId80"/>
    <hyperlink xmlns:r="http://schemas.openxmlformats.org/officeDocument/2006/relationships" ref="Q83" r:id="rId81"/>
    <hyperlink xmlns:r="http://schemas.openxmlformats.org/officeDocument/2006/relationships" ref="Q84" r:id="rId82"/>
    <hyperlink xmlns:r="http://schemas.openxmlformats.org/officeDocument/2006/relationships" ref="Q85" r:id="rId83"/>
    <hyperlink xmlns:r="http://schemas.openxmlformats.org/officeDocument/2006/relationships" ref="Q86" r:id="rId84"/>
    <hyperlink xmlns:r="http://schemas.openxmlformats.org/officeDocument/2006/relationships" ref="Q87" r:id="rId85"/>
    <hyperlink xmlns:r="http://schemas.openxmlformats.org/officeDocument/2006/relationships" ref="Q88" r:id="rId86"/>
    <hyperlink xmlns:r="http://schemas.openxmlformats.org/officeDocument/2006/relationships" ref="Q89" r:id="rId87"/>
    <hyperlink xmlns:r="http://schemas.openxmlformats.org/officeDocument/2006/relationships" ref="Q90" r:id="rId88"/>
    <hyperlink xmlns:r="http://schemas.openxmlformats.org/officeDocument/2006/relationships" ref="Q91" r:id="rId89"/>
    <hyperlink xmlns:r="http://schemas.openxmlformats.org/officeDocument/2006/relationships" ref="Q92" r:id="rId90"/>
    <hyperlink xmlns:r="http://schemas.openxmlformats.org/officeDocument/2006/relationships" ref="Q93" r:id="rId91"/>
    <hyperlink xmlns:r="http://schemas.openxmlformats.org/officeDocument/2006/relationships" ref="Q94" r:id="rId92"/>
    <hyperlink xmlns:r="http://schemas.openxmlformats.org/officeDocument/2006/relationships" ref="Q95" r:id="rId93"/>
    <hyperlink xmlns:r="http://schemas.openxmlformats.org/officeDocument/2006/relationships" ref="Q96" r:id="rId94"/>
    <hyperlink xmlns:r="http://schemas.openxmlformats.org/officeDocument/2006/relationships" ref="Q97" r:id="rId95"/>
    <hyperlink xmlns:r="http://schemas.openxmlformats.org/officeDocument/2006/relationships" ref="Q98" r:id="rId96"/>
    <hyperlink xmlns:r="http://schemas.openxmlformats.org/officeDocument/2006/relationships" ref="Q100" r:id="rId97"/>
    <hyperlink xmlns:r="http://schemas.openxmlformats.org/officeDocument/2006/relationships" ref="Q101" r:id="rId98"/>
    <hyperlink xmlns:r="http://schemas.openxmlformats.org/officeDocument/2006/relationships" ref="Q103" r:id="rId99"/>
    <hyperlink xmlns:r="http://schemas.openxmlformats.org/officeDocument/2006/relationships" ref="Q104" r:id="rId100"/>
    <hyperlink xmlns:r="http://schemas.openxmlformats.org/officeDocument/2006/relationships" ref="Q106" r:id="rId101"/>
    <hyperlink xmlns:r="http://schemas.openxmlformats.org/officeDocument/2006/relationships" ref="Q107" r:id="rId102"/>
    <hyperlink xmlns:r="http://schemas.openxmlformats.org/officeDocument/2006/relationships" ref="Q108" r:id="rId103"/>
    <hyperlink xmlns:r="http://schemas.openxmlformats.org/officeDocument/2006/relationships" ref="Q109" r:id="rId104"/>
    <hyperlink xmlns:r="http://schemas.openxmlformats.org/officeDocument/2006/relationships" ref="Q110" r:id="rId105"/>
    <hyperlink xmlns:r="http://schemas.openxmlformats.org/officeDocument/2006/relationships" ref="Q111" r:id="rId106"/>
    <hyperlink xmlns:r="http://schemas.openxmlformats.org/officeDocument/2006/relationships" ref="Q112" r:id="rId107"/>
    <hyperlink xmlns:r="http://schemas.openxmlformats.org/officeDocument/2006/relationships" ref="Q113" r:id="rId108"/>
    <hyperlink xmlns:r="http://schemas.openxmlformats.org/officeDocument/2006/relationships" ref="Q114" r:id="rId109"/>
    <hyperlink xmlns:r="http://schemas.openxmlformats.org/officeDocument/2006/relationships" ref="Q115" r:id="rId110"/>
    <hyperlink xmlns:r="http://schemas.openxmlformats.org/officeDocument/2006/relationships" ref="Q116" r:id="rId111"/>
    <hyperlink xmlns:r="http://schemas.openxmlformats.org/officeDocument/2006/relationships" ref="Q117" r:id="rId112"/>
    <hyperlink xmlns:r="http://schemas.openxmlformats.org/officeDocument/2006/relationships" ref="Q118" r:id="rId113"/>
    <hyperlink xmlns:r="http://schemas.openxmlformats.org/officeDocument/2006/relationships" ref="Q119" r:id="rId114"/>
    <hyperlink xmlns:r="http://schemas.openxmlformats.org/officeDocument/2006/relationships" ref="Q120" r:id="rId1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" customWidth="1" min="3" max="3"/>
    <col width="40" customWidth="1" min="4" max="4"/>
    <col width="12" customWidth="1" min="5" max="5"/>
    <col width="11" customWidth="1" min="6" max="6"/>
    <col width="13" customWidth="1" min="7" max="7"/>
    <col width="13" customWidth="1" min="8" max="8"/>
    <col width="13" customWidth="1" min="9" max="9"/>
    <col width="12" customWidth="1" min="10" max="10"/>
    <col width="34" customWidth="1" min="11" max="11"/>
    <col width="50" customWidth="1" min="12" max="12"/>
  </cols>
  <sheetData>
    <row r="1" ht="45" customHeight="1">
      <c r="A1" s="2" t="inlineStr">
        <is>
          <t>Экипаж</t>
        </is>
      </c>
      <c r="B1" s="2" t="inlineStr">
        <is>
          <t>Кто едет</t>
        </is>
      </c>
      <c r="C1" s="2" t="inlineStr">
        <is>
          <t>Чел.</t>
        </is>
      </c>
      <c r="D1" s="2" t="inlineStr">
        <is>
          <t>Маршрут</t>
        </is>
      </c>
      <c r="E1" s="2" t="inlineStr">
        <is>
          <t>Км до Коломны (в одну сторону)</t>
        </is>
      </c>
      <c r="F1" s="2" t="inlineStr">
        <is>
          <t>Время в пути</t>
        </is>
      </c>
      <c r="G1" s="2" t="inlineStr">
        <is>
          <t>Топливо туда-обратно, ₽</t>
        </is>
      </c>
      <c r="H1" s="2" t="inlineStr">
        <is>
          <t>Платные дороги туда-обратно, ₽</t>
        </is>
      </c>
      <c r="I1" s="2" t="inlineStr">
        <is>
          <t>Итого на машину, ₽</t>
        </is>
      </c>
      <c r="J1" s="2" t="inlineStr">
        <is>
          <t>На 1 чел., ₽</t>
        </is>
      </c>
      <c r="K1" s="2" t="inlineStr">
        <is>
          <t>Выезд / приезд (эконом)</t>
        </is>
      </c>
      <c r="L1" s="2" t="inlineStr">
        <is>
          <t>Примечание</t>
        </is>
      </c>
    </row>
    <row r="2">
      <c r="A2" s="5" t="inlineStr">
        <is>
          <t>Пенза</t>
        </is>
      </c>
      <c r="B2" s="5" t="inlineStr">
        <is>
          <t>Ирышков Е.А.</t>
        </is>
      </c>
      <c r="C2" s="5" t="n">
        <v>1</v>
      </c>
      <c r="D2" s="5" t="inlineStr">
        <is>
          <t>Пенза — М-5 — Шацк — Рязань — Коломна</t>
        </is>
      </c>
      <c r="E2" s="5" t="n">
        <v>560</v>
      </c>
      <c r="F2" s="5" t="inlineStr">
        <is>
          <t>~7 ч 30 мин</t>
        </is>
      </c>
      <c r="G2" s="23">
        <f>E2*2*'Правила и допущения'!$B$4/100*'Правила и допущения'!$B$5</f>
        <v/>
      </c>
      <c r="H2" s="23" t="n">
        <v>0</v>
      </c>
      <c r="I2" s="23">
        <f>G2+H2</f>
        <v/>
      </c>
      <c r="J2" s="23">
        <f>I2/C2</f>
        <v/>
      </c>
      <c r="K2" s="5" t="inlineStr">
        <is>
          <t>27.10 выезд ~13:00 → 20:30; или 28.10 06:30 → 14:00</t>
        </is>
      </c>
      <c r="L2" s="5" t="inlineStr">
        <is>
          <t>Близко к лимиту 600 км. Совместно с Саранском — только при встрече на М-5 (р-н Шацка), заезд в Саранск даёт ~630 км</t>
        </is>
      </c>
    </row>
    <row r="3">
      <c r="A3" s="5" t="inlineStr">
        <is>
          <t>Саранск</t>
        </is>
      </c>
      <c r="B3" s="5" t="inlineStr">
        <is>
          <t>Ильин Д.С.</t>
        </is>
      </c>
      <c r="C3" s="5" t="n">
        <v>1</v>
      </c>
      <c r="D3" s="5" t="inlineStr">
        <is>
          <t>Саранск — Краснослободск — М-5 — Рязань — Коломна</t>
        </is>
      </c>
      <c r="E3" s="5" t="n">
        <v>500</v>
      </c>
      <c r="F3" s="5" t="inlineStr">
        <is>
          <t>~7 ч</t>
        </is>
      </c>
      <c r="G3" s="23">
        <f>E3*2*'Правила и допущения'!$B$4/100*'Правила и допущения'!$B$5</f>
        <v/>
      </c>
      <c r="H3" s="23" t="n">
        <v>0</v>
      </c>
      <c r="I3" s="23">
        <f>G3+H3</f>
        <v/>
      </c>
      <c r="J3" s="23">
        <f>I3/C3</f>
        <v/>
      </c>
      <c r="K3" s="5" t="inlineStr">
        <is>
          <t>28.10 выезд 07:00 → 14:00</t>
        </is>
      </c>
      <c r="L3" s="5" t="inlineStr">
        <is>
          <t>Альтернатива — поезд 041Й (лист «Маршруты»)</t>
        </is>
      </c>
    </row>
    <row r="4">
      <c r="A4" s="5" t="inlineStr">
        <is>
          <t>Тамбов</t>
        </is>
      </c>
      <c r="B4" s="5" t="inlineStr">
        <is>
          <t>Горелкин Д.Е.</t>
        </is>
      </c>
      <c r="C4" s="5" t="n">
        <v>1</v>
      </c>
      <c r="D4" s="5" t="inlineStr">
        <is>
          <t>Тамбов — Р-22 — Рязань — Коломна</t>
        </is>
      </c>
      <c r="E4" s="5" t="n">
        <v>390</v>
      </c>
      <c r="F4" s="5" t="inlineStr">
        <is>
          <t>~5 ч</t>
        </is>
      </c>
      <c r="G4" s="23">
        <f>E4*2*'Правила и допущения'!$B$4/100*'Правила и допущения'!$B$5</f>
        <v/>
      </c>
      <c r="H4" s="23" t="n">
        <v>0</v>
      </c>
      <c r="I4" s="23">
        <f>G4+H4</f>
        <v/>
      </c>
      <c r="J4" s="23">
        <f>I4/C4</f>
        <v/>
      </c>
      <c r="K4" s="5" t="inlineStr">
        <is>
          <t>28.10 выезд 09:00 → 14:00</t>
        </is>
      </c>
      <c r="L4" s="5" t="inlineStr">
        <is>
          <t>Обратно 30.10 после 18:00 — дома ~23:30</t>
        </is>
      </c>
    </row>
    <row r="5">
      <c r="A5" s="5" t="inlineStr">
        <is>
          <t>Липецк (3 чел.)</t>
        </is>
      </c>
      <c r="B5" s="5" t="inlineStr">
        <is>
          <t>Иванищева А.В., Кузнецов А.А., Зайцев С.А.</t>
        </is>
      </c>
      <c r="C5" s="5" t="n">
        <v>3</v>
      </c>
      <c r="D5" s="5" t="inlineStr">
        <is>
          <t>Липецк — Данков — Скопин — Рязань — Коломна</t>
        </is>
      </c>
      <c r="E5" s="5" t="n">
        <v>370</v>
      </c>
      <c r="F5" s="5" t="inlineStr">
        <is>
          <t>~5 ч</t>
        </is>
      </c>
      <c r="G5" s="23">
        <f>E5*2*'Правила и допущения'!$B$4/100*'Правила и допущения'!$B$5</f>
        <v/>
      </c>
      <c r="H5" s="23" t="n">
        <v>0</v>
      </c>
      <c r="I5" s="23">
        <f>G5+H5</f>
        <v/>
      </c>
      <c r="J5" s="23">
        <f>I5/C5</f>
        <v/>
      </c>
      <c r="K5" s="5" t="inlineStr">
        <is>
          <t>28.10 выезд 09:00 → 14:00</t>
        </is>
      </c>
      <c r="L5" s="5" t="inlineStr">
        <is>
          <t>Одна машина на троих — самый выгодный вариант</t>
        </is>
      </c>
    </row>
    <row r="6">
      <c r="A6" s="5" t="inlineStr">
        <is>
          <t>Воронеж (2 чел.)</t>
        </is>
      </c>
      <c r="B6" s="5" t="inlineStr">
        <is>
          <t>Летуновский В.М., Штанько О.М.</t>
        </is>
      </c>
      <c r="C6" s="5" t="n">
        <v>2</v>
      </c>
      <c r="D6" s="5" t="inlineStr">
        <is>
          <t>Воронеж — М-4 «Дон» — Кашира — Коломна</t>
        </is>
      </c>
      <c r="E6" s="5" t="n">
        <v>450</v>
      </c>
      <c r="F6" s="5" t="inlineStr">
        <is>
          <t>~5 ч 30 мин</t>
        </is>
      </c>
      <c r="G6" s="23">
        <f>E6*2*'Правила и допущения'!$B$4/100*'Правила и допущения'!$B$5</f>
        <v/>
      </c>
      <c r="H6" s="23" t="n">
        <v>3600</v>
      </c>
      <c r="I6" s="23">
        <f>G6+H6</f>
        <v/>
      </c>
      <c r="J6" s="23">
        <f>I6/C6</f>
        <v/>
      </c>
      <c r="K6" s="5" t="inlineStr">
        <is>
          <t>28.10 выезд 08:30 → 14:00</t>
        </is>
      </c>
      <c r="L6" s="5" t="inlineStr">
        <is>
          <t>Платные участки М-4 — ориентир ~1 800 ₽ в одну сторону, проверить. Можно захватить 1 чел. из Липецка (+~40 км)</t>
        </is>
      </c>
    </row>
    <row r="7">
      <c r="A7" s="5" t="inlineStr">
        <is>
          <t>Брянск + Орёл</t>
        </is>
      </c>
      <c r="B7" s="5" t="inlineStr">
        <is>
          <t>Бондарев С.А. (водитель), Мамонов С.В.</t>
        </is>
      </c>
      <c r="C7" s="5" t="n">
        <v>2</v>
      </c>
      <c r="D7" s="5" t="inlineStr">
        <is>
          <t>Брянск — Орёл — Тула — Венёв — Коломна</t>
        </is>
      </c>
      <c r="E7" s="5" t="n">
        <v>500</v>
      </c>
      <c r="F7" s="5" t="inlineStr">
        <is>
          <t>~6 ч 30 мин</t>
        </is>
      </c>
      <c r="G7" s="23">
        <f>E7*2*'Правила и допущения'!$B$4/100*'Правила и допущения'!$B$5</f>
        <v/>
      </c>
      <c r="H7" s="23" t="n">
        <v>0</v>
      </c>
      <c r="I7" s="23">
        <f>G7+H7</f>
        <v/>
      </c>
      <c r="J7" s="23">
        <f>I7/C7</f>
        <v/>
      </c>
      <c r="K7" s="5" t="inlineStr">
        <is>
          <t>28.10 выезд из Брянска 07:00, Орёл ~09:00 → 13:30</t>
        </is>
      </c>
      <c r="L7" s="5" t="inlineStr">
        <is>
          <t>Орёл по пути, крюк не нужен. Если едут отдельно: Орёл → Коломна ~360 км, Брянск ~440 км (через Калугу)</t>
        </is>
      </c>
    </row>
    <row r="8">
      <c r="A8" s="5" t="inlineStr">
        <is>
          <t>Н. Новгород + Владимир (3 чел.)</t>
        </is>
      </c>
      <c r="B8" s="5" t="inlineStr">
        <is>
          <t>Бабкин В.А., Меднов В.А. (из Н. Новгорода), Шабанов Р.В. (забрать во Владимире)</t>
        </is>
      </c>
      <c r="C8" s="5" t="n">
        <v>3</v>
      </c>
      <c r="D8" s="5" t="inlineStr">
        <is>
          <t>Н. Новгород — М-12 — Владимир — Петушки — Покров — Орехово-Зуево — Егорьевск — Коломна</t>
        </is>
      </c>
      <c r="E8" s="5" t="n">
        <v>430</v>
      </c>
      <c r="F8" s="5" t="inlineStr">
        <is>
          <t>~6 ч</t>
        </is>
      </c>
      <c r="G8" s="23">
        <f>E8*2*'Правила и допущения'!$B$4/100*'Правила и допущения'!$B$5</f>
        <v/>
      </c>
      <c r="H8" s="23" t="n">
        <v>3000</v>
      </c>
      <c r="I8" s="23">
        <f>G8+H8</f>
        <v/>
      </c>
      <c r="J8" s="23">
        <f>I8/C8</f>
        <v/>
      </c>
      <c r="K8" s="5" t="inlineStr">
        <is>
          <t>28.10 выезд из Н. Новгорода 08:00 → Владимир ~10:30 (забрать Шабанова) → Коломна ~14:00</t>
        </is>
      </c>
      <c r="L8" s="5" t="inlineStr">
        <is>
          <t>Владимир по пути — крюк не нужен. М-12 платная, ~1 500 ₽ в одну сторону (ориентир); по бесплатной М-7 +~40 мин. Обратно 30.10 после 18:00: Владимир ~21:30, Н. Новгород ~00:30 — для водителя лучше 31.10 утром</t>
        </is>
      </c>
    </row>
    <row r="9">
      <c r="A9" s="5" t="inlineStr">
        <is>
          <t>Калуга</t>
        </is>
      </c>
      <c r="B9" s="5" t="inlineStr">
        <is>
          <t>Макеев С.И.</t>
        </is>
      </c>
      <c r="C9" s="5" t="n">
        <v>1</v>
      </c>
      <c r="D9" s="5" t="inlineStr">
        <is>
          <t>Калуга — Таруса — Серпухов — Ступино — Коломна</t>
        </is>
      </c>
      <c r="E9" s="5" t="n">
        <v>230</v>
      </c>
      <c r="F9" s="5" t="inlineStr">
        <is>
          <t>~3 ч 30 мин</t>
        </is>
      </c>
      <c r="G9" s="23">
        <f>E9*2*'Правила и допущения'!$B$4/100*'Правила и допущения'!$B$5</f>
        <v/>
      </c>
      <c r="H9" s="23" t="n">
        <v>0</v>
      </c>
      <c r="I9" s="23">
        <f>G9+H9</f>
        <v/>
      </c>
      <c r="J9" s="23">
        <f>I9/C9</f>
        <v/>
      </c>
      <c r="K9" s="5" t="inlineStr">
        <is>
          <t>28.10 выезд 10:30 → 14:00</t>
        </is>
      </c>
      <c r="L9" s="5" t="inlineStr">
        <is>
          <t>Если своей машины нет — поезд до Киевского вокзала (лист «Маршруты»)</t>
        </is>
      </c>
    </row>
    <row r="11">
      <c r="A11" s="14" t="inlineStr">
        <is>
          <t>Расстояния и время — ориентир; точный маршрут и пробки проверить в Яндекс Картах. Обратно: эконом — выезд 30.10 в 18:15; удобный — 31.10 утром + доп. ночь.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6" customWidth="1" min="4" max="4"/>
    <col width="18" customWidth="1" min="5" max="5"/>
    <col width="8" customWidth="1" min="6" max="6"/>
    <col width="13" customWidth="1" min="7" max="7"/>
    <col width="12" customWidth="1" min="8" max="8"/>
    <col width="40" customWidth="1" min="9" max="9"/>
  </cols>
  <sheetData>
    <row r="1" ht="45" customHeight="1">
      <c r="A1" s="2" t="inlineStr">
        <is>
          <t>Дата / аэропорт</t>
        </is>
      </c>
      <c r="B1" s="2" t="inlineStr">
        <is>
          <t>Группа</t>
        </is>
      </c>
      <c r="C1" s="2" t="inlineStr">
        <is>
          <t>Кто (город, рейс, прилёт/вылет)</t>
        </is>
      </c>
      <c r="D1" s="2" t="inlineStr">
        <is>
          <t>Чел.</t>
        </is>
      </c>
      <c r="E1" s="2" t="inlineStr">
        <is>
          <t>Сбор / выезд</t>
        </is>
      </c>
      <c r="F1" s="2" t="inlineStr">
        <is>
          <t>Машин</t>
        </is>
      </c>
      <c r="G1" s="2" t="inlineStr">
        <is>
          <t>Цена на машину, ₽</t>
        </is>
      </c>
      <c r="H1" s="2" t="inlineStr">
        <is>
          <t>На 1 чел., ₽</t>
        </is>
      </c>
      <c r="I1" s="2" t="inlineStr">
        <is>
          <t>Комментарий</t>
        </is>
      </c>
    </row>
    <row r="2">
      <c r="A2" s="5" t="inlineStr">
        <is>
          <t>27.10 Шереметьево (удобный)</t>
        </is>
      </c>
      <c r="B2" s="5" t="inlineStr">
        <is>
          <t>Ш-0</t>
        </is>
      </c>
      <c r="C2" s="5" t="inlineStr">
        <is>
          <t>Омск SU-1689 17:55</t>
        </is>
      </c>
      <c r="D2" s="5" t="n">
        <v>1</v>
      </c>
      <c r="E2" s="5" t="inlineStr">
        <is>
          <t>сразу после прилёта</t>
        </is>
      </c>
      <c r="F2" s="5" t="n">
        <v>1</v>
      </c>
      <c r="G2" s="23" t="n">
        <v>5000</v>
      </c>
      <c r="H2" s="23">
        <f>G2*F2/D2</f>
        <v/>
      </c>
      <c r="I2" s="5" t="inlineStr">
        <is>
          <t>Или аэроэкспресс + электричка</t>
        </is>
      </c>
    </row>
    <row r="3">
      <c r="A3" s="5" t="inlineStr">
        <is>
          <t>28.10 Домодедово (удобный)</t>
        </is>
      </c>
      <c r="B3" s="5" t="inlineStr">
        <is>
          <t>Д-1</t>
        </is>
      </c>
      <c r="C3" s="5" t="inlineStr">
        <is>
          <t>Новокузнецк S7-2626 10:00; Екатеринбург U6-272 10:10 — группа 9 чел. + Нижний Тагил; Чита U6-94 10:20</t>
        </is>
      </c>
      <c r="D3" s="5" t="n">
        <v>12</v>
      </c>
      <c r="E3" s="5" t="inlineStr">
        <is>
          <t>сбор ~10:45</t>
        </is>
      </c>
      <c r="F3" s="5" t="n">
        <v>2</v>
      </c>
      <c r="G3" s="23" t="n">
        <v>4000</v>
      </c>
      <c r="H3" s="23">
        <f>G3*F3/D3</f>
        <v/>
      </c>
      <c r="I3" s="5" t="inlineStr">
        <is>
          <t>2 минивэна (заказать заранее)</t>
        </is>
      </c>
    </row>
    <row r="4">
      <c r="A4" s="5" t="inlineStr">
        <is>
          <t>28.10 Домодедово (удобный)</t>
        </is>
      </c>
      <c r="B4" s="5" t="inlineStr">
        <is>
          <t>Д-2</t>
        </is>
      </c>
      <c r="C4" s="5" t="inlineStr">
        <is>
          <t>Ревда U6-300 12:40</t>
        </is>
      </c>
      <c r="D4" s="5" t="n">
        <v>1</v>
      </c>
      <c r="E4" s="5" t="inlineStr">
        <is>
          <t>~13:10</t>
        </is>
      </c>
      <c r="F4" s="5" t="n">
        <v>1</v>
      </c>
      <c r="G4" s="23" t="n">
        <v>3000</v>
      </c>
      <c r="H4" s="23">
        <f>G4*F4/D4</f>
        <v/>
      </c>
      <c r="I4" s="5" t="inlineStr"/>
    </row>
    <row r="5">
      <c r="A5" s="5" t="inlineStr">
        <is>
          <t>28.10 Домодедово (удобный)</t>
        </is>
      </c>
      <c r="B5" s="5" t="inlineStr">
        <is>
          <t>Д-3</t>
        </is>
      </c>
      <c r="C5" s="5" t="inlineStr">
        <is>
          <t>Уфа S7-1136 16:15; Ижевск S7-1166 20:05</t>
        </is>
      </c>
      <c r="D5" s="5" t="n">
        <v>1</v>
      </c>
      <c r="E5" s="5" t="inlineStr">
        <is>
          <t>по прилёту</t>
        </is>
      </c>
      <c r="F5" s="5" t="n">
        <v>1</v>
      </c>
      <c r="G5" s="23" t="n">
        <v>3000</v>
      </c>
      <c r="H5" s="23">
        <f>G5*F5/D5</f>
        <v/>
      </c>
      <c r="I5" s="5" t="inlineStr">
        <is>
          <t>Прилёты далеко по времени — отдельные такси</t>
        </is>
      </c>
    </row>
    <row r="6">
      <c r="A6" s="5" t="inlineStr">
        <is>
          <t>28.10 Шереметьево (удобный)</t>
        </is>
      </c>
      <c r="B6" s="5" t="inlineStr">
        <is>
          <t>Ш-1</t>
        </is>
      </c>
      <c r="C6" s="5" t="inlineStr">
        <is>
          <t>Новосибирск SU-1307 10:45 (3 чел.); Абакан SU-1479 11:00; Чебоксары DP-6808 11:45; Улан-Удэ SU-1455 11:45; Казань N4-60 11:55</t>
        </is>
      </c>
      <c r="D6" s="5" t="n">
        <v>7</v>
      </c>
      <c r="E6" s="5" t="inlineStr">
        <is>
          <t>сбор ~12:15</t>
        </is>
      </c>
      <c r="F6" s="5" t="n">
        <v>1</v>
      </c>
      <c r="G6" s="23" t="n">
        <v>7000</v>
      </c>
      <c r="H6" s="23">
        <f>G6*F6/D6</f>
        <v/>
      </c>
      <c r="I6" s="5" t="inlineStr">
        <is>
          <t>Минивэн на 7–8 мест</t>
        </is>
      </c>
    </row>
    <row r="7">
      <c r="A7" s="5" t="inlineStr">
        <is>
          <t>28.10 Шереметьево (удобный)</t>
        </is>
      </c>
      <c r="B7" s="5" t="inlineStr">
        <is>
          <t>Ш-2</t>
        </is>
      </c>
      <c r="C7" s="5" t="inlineStr">
        <is>
          <t>Волгоград DP-6966 12:10; Красноярск SU-1483 12:20; Иркутск SU-6732 12:25 (5 чел.)</t>
        </is>
      </c>
      <c r="D7" s="5" t="n">
        <v>7</v>
      </c>
      <c r="E7" s="5" t="inlineStr">
        <is>
          <t>сбор ~12:50</t>
        </is>
      </c>
      <c r="F7" s="5" t="n">
        <v>1</v>
      </c>
      <c r="G7" s="23" t="n">
        <v>7000</v>
      </c>
      <c r="H7" s="23">
        <f>G7*F7/D7</f>
        <v/>
      </c>
      <c r="I7" s="5" t="inlineStr">
        <is>
          <t>Минивэн</t>
        </is>
      </c>
    </row>
    <row r="8">
      <c r="A8" s="5" t="inlineStr">
        <is>
          <t>28.10 Шереметьево (удобный)</t>
        </is>
      </c>
      <c r="B8" s="5" t="inlineStr">
        <is>
          <t>Ш-3</t>
        </is>
      </c>
      <c r="C8" s="5" t="inlineStr">
        <is>
          <t>Астрахань DP-6962 13:45</t>
        </is>
      </c>
      <c r="D8" s="5" t="n">
        <v>1</v>
      </c>
      <c r="E8" s="5" t="inlineStr">
        <is>
          <t>~14:15</t>
        </is>
      </c>
      <c r="F8" s="5" t="n">
        <v>1</v>
      </c>
      <c r="G8" s="23" t="n">
        <v>5000</v>
      </c>
      <c r="H8" s="23">
        <f>G8*F8/D8</f>
        <v/>
      </c>
      <c r="I8" s="5" t="inlineStr">
        <is>
          <t>Или аэроэкспресс + электричка</t>
        </is>
      </c>
    </row>
    <row r="9">
      <c r="A9" s="5" t="inlineStr">
        <is>
          <t>28.10 Шереметьево (удобный)</t>
        </is>
      </c>
      <c r="B9" s="5" t="inlineStr">
        <is>
          <t>Ш-4</t>
        </is>
      </c>
      <c r="C9" s="5" t="inlineStr">
        <is>
          <t>Челябинск SU-1421 17:10; Саратов DP-6864 18:20 (2 чел.); Наб. Челны DP-6846 18:30; Оренбург N4-78 18:55</t>
        </is>
      </c>
      <c r="D9" s="5" t="n">
        <v>5</v>
      </c>
      <c r="E9" s="5" t="inlineStr">
        <is>
          <t>сбор ~19:15</t>
        </is>
      </c>
      <c r="F9" s="5" t="n">
        <v>1</v>
      </c>
      <c r="G9" s="23" t="n">
        <v>7000</v>
      </c>
      <c r="H9" s="23">
        <f>G9*F9/D9</f>
        <v/>
      </c>
      <c r="I9" s="5" t="inlineStr">
        <is>
          <t>Минивэн; в гостинице ~22:30</t>
        </is>
      </c>
    </row>
    <row r="10">
      <c r="A10" s="5" t="inlineStr">
        <is>
          <t>28.10 Внуково (удобный)</t>
        </is>
      </c>
      <c r="B10" s="5" t="inlineStr">
        <is>
          <t>В-1</t>
        </is>
      </c>
      <c r="C10" s="5" t="inlineStr">
        <is>
          <t>Ульяновск DP-466 11:50 (2 чел.); Магнитогорск A4-7062 13:00</t>
        </is>
      </c>
      <c r="D10" s="5" t="n">
        <v>3</v>
      </c>
      <c r="E10" s="5" t="inlineStr">
        <is>
          <t>сбор ~13:20</t>
        </is>
      </c>
      <c r="F10" s="5" t="n">
        <v>1</v>
      </c>
      <c r="G10" s="23" t="n">
        <v>4500</v>
      </c>
      <c r="H10" s="23">
        <f>G10*F10/D10</f>
        <v/>
      </c>
      <c r="I10" s="5" t="inlineStr"/>
    </row>
    <row r="11">
      <c r="A11" s="5" t="inlineStr">
        <is>
          <t>28.10 Внуково (удобный)</t>
        </is>
      </c>
      <c r="B11" s="5" t="inlineStr">
        <is>
          <t>В-2</t>
        </is>
      </c>
      <c r="C11" s="5" t="inlineStr">
        <is>
          <t>Самара DP-422 15:45; Тюмень UT-464 18:55</t>
        </is>
      </c>
      <c r="D11" s="5" t="n">
        <v>1</v>
      </c>
      <c r="E11" s="5" t="inlineStr">
        <is>
          <t>по прилёту</t>
        </is>
      </c>
      <c r="F11" s="5" t="n">
        <v>1</v>
      </c>
      <c r="G11" s="23" t="n">
        <v>4500</v>
      </c>
      <c r="H11" s="23">
        <f>G11*F11/D11</f>
        <v/>
      </c>
      <c r="I11" s="5" t="inlineStr">
        <is>
          <t>Отдельные такси</t>
        </is>
      </c>
    </row>
    <row r="12">
      <c r="A12" s="5" t="inlineStr">
        <is>
          <t>31.10 → Домодедово (удобный)</t>
        </is>
      </c>
      <c r="B12" s="5" t="inlineStr">
        <is>
          <t>О-1</t>
        </is>
      </c>
      <c r="C12" s="5" t="inlineStr">
        <is>
          <t>Екатеринбург + Нижний Тагил U6-261 10:00 (10 чел.); Ревда U6-261</t>
        </is>
      </c>
      <c r="D12" s="5" t="n">
        <v>11</v>
      </c>
      <c r="E12" s="5" t="inlineStr">
        <is>
          <t>выезд ~07:00</t>
        </is>
      </c>
      <c r="F12" s="5" t="n">
        <v>2</v>
      </c>
      <c r="G12" s="23" t="n">
        <v>4000</v>
      </c>
      <c r="H12" s="23">
        <f>G12*F12/D12</f>
        <v/>
      </c>
      <c r="I12" s="5" t="inlineStr">
        <is>
          <t>2 минивэна</t>
        </is>
      </c>
    </row>
    <row r="13">
      <c r="A13" s="5" t="inlineStr">
        <is>
          <t>31.10 → Домодедово (удобный)</t>
        </is>
      </c>
      <c r="B13" s="5" t="inlineStr">
        <is>
          <t>О-2</t>
        </is>
      </c>
      <c r="C13" s="5" t="inlineStr">
        <is>
          <t>Уфа S7-1135 11:00; Иркутск S7-3021 12:05 (5 чел.)</t>
        </is>
      </c>
      <c r="D13" s="5" t="n">
        <v>6</v>
      </c>
      <c r="E13" s="5" t="inlineStr">
        <is>
          <t>выезд ~08:30</t>
        </is>
      </c>
      <c r="F13" s="5" t="n">
        <v>1</v>
      </c>
      <c r="G13" s="23" t="n">
        <v>4000</v>
      </c>
      <c r="H13" s="23">
        <f>G13*F13/D13</f>
        <v/>
      </c>
      <c r="I13" s="5" t="inlineStr">
        <is>
          <t>Минивэн</t>
        </is>
      </c>
    </row>
    <row r="14">
      <c r="A14" s="5" t="inlineStr">
        <is>
          <t>31.10 → Домодедово (удобный)</t>
        </is>
      </c>
      <c r="B14" s="5" t="inlineStr">
        <is>
          <t>О-3</t>
        </is>
      </c>
      <c r="C14" s="5" t="inlineStr">
        <is>
          <t>Ижевск S7-1165 15:10; Чита U6-93 19:40</t>
        </is>
      </c>
      <c r="D14" s="5" t="n">
        <v>1</v>
      </c>
      <c r="E14" s="5" t="inlineStr">
        <is>
          <t>по времени рейсов</t>
        </is>
      </c>
      <c r="F14" s="5" t="n">
        <v>1</v>
      </c>
      <c r="G14" s="23" t="n">
        <v>3000</v>
      </c>
      <c r="H14" s="23">
        <f>G14*F14/D14</f>
        <v/>
      </c>
      <c r="I14" s="5" t="inlineStr">
        <is>
          <t>Отдельные такси</t>
        </is>
      </c>
    </row>
    <row r="15">
      <c r="A15" s="5" t="inlineStr">
        <is>
          <t>31.10 → Шереметьево (удобный)</t>
        </is>
      </c>
      <c r="B15" s="5" t="inlineStr">
        <is>
          <t>О-4</t>
        </is>
      </c>
      <c r="C15" s="5" t="inlineStr">
        <is>
          <t>Челябинск SU-1420 10:50; Магнитогорск SU-1420 10:50</t>
        </is>
      </c>
      <c r="D15" s="5" t="n">
        <v>2</v>
      </c>
      <c r="E15" s="5" t="inlineStr">
        <is>
          <t>выезд ~06:15</t>
        </is>
      </c>
      <c r="F15" s="5" t="n">
        <v>1</v>
      </c>
      <c r="G15" s="23" t="n">
        <v>5000</v>
      </c>
      <c r="H15" s="23">
        <f>G15*F15/D15</f>
        <v/>
      </c>
      <c r="I15" s="5" t="inlineStr"/>
    </row>
    <row r="16">
      <c r="A16" s="5" t="inlineStr">
        <is>
          <t>31.10 → Шереметьево (удобный)</t>
        </is>
      </c>
      <c r="B16" s="5" t="inlineStr">
        <is>
          <t>О-5</t>
        </is>
      </c>
      <c r="C16" s="5" t="inlineStr">
        <is>
          <t>Новосибирск SU-1076 12:20 (3 чел.); Красноярск SU-1488 13:05</t>
        </is>
      </c>
      <c r="D16" s="5" t="n">
        <v>4</v>
      </c>
      <c r="E16" s="5" t="inlineStr">
        <is>
          <t>выезд ~07:45</t>
        </is>
      </c>
      <c r="F16" s="5" t="n">
        <v>1</v>
      </c>
      <c r="G16" s="23" t="n">
        <v>5000</v>
      </c>
      <c r="H16" s="23">
        <f>G16*F16/D16</f>
        <v/>
      </c>
      <c r="I16" s="5" t="inlineStr"/>
    </row>
    <row r="17">
      <c r="A17" s="5" t="inlineStr">
        <is>
          <t>31.10 → Шереметьево (удобный)</t>
        </is>
      </c>
      <c r="B17" s="5" t="inlineStr">
        <is>
          <t>О-6</t>
        </is>
      </c>
      <c r="C17" s="5" t="inlineStr">
        <is>
          <t>Астрахань DP-6963 13:50; Наб. Челны DP-6845 14:10; Самара DP-6581 14:15; Оренбург SU-1248 15:30</t>
        </is>
      </c>
      <c r="D17" s="5" t="n">
        <v>4</v>
      </c>
      <c r="E17" s="5" t="inlineStr">
        <is>
          <t>выезд ~09:15</t>
        </is>
      </c>
      <c r="F17" s="5" t="n">
        <v>1</v>
      </c>
      <c r="G17" s="23" t="n">
        <v>5000</v>
      </c>
      <c r="H17" s="23">
        <f>G17*F17/D17</f>
        <v/>
      </c>
      <c r="I17" s="5" t="inlineStr">
        <is>
          <t>Или электричка + аэроэкспресс</t>
        </is>
      </c>
    </row>
    <row r="18">
      <c r="A18" s="5" t="inlineStr">
        <is>
          <t>31.10 → Шереметьево (удобный)</t>
        </is>
      </c>
      <c r="B18" s="5" t="inlineStr">
        <is>
          <t>О-7</t>
        </is>
      </c>
      <c r="C18" s="5" t="inlineStr">
        <is>
          <t>Казань DP-6843 17:30; Волгоград DP-6969 18:35; Чебоксары DP-6815 19:30</t>
        </is>
      </c>
      <c r="D18" s="5" t="n">
        <v>3</v>
      </c>
      <c r="E18" s="5" t="inlineStr">
        <is>
          <t>выезд ~13:00</t>
        </is>
      </c>
      <c r="F18" s="5" t="n">
        <v>1</v>
      </c>
      <c r="G18" s="23" t="n">
        <v>5000</v>
      </c>
      <c r="H18" s="23">
        <f>G18*F18/D18</f>
        <v/>
      </c>
      <c r="I18" s="5" t="inlineStr"/>
    </row>
    <row r="19">
      <c r="A19" s="5" t="inlineStr">
        <is>
          <t>31.10 → Шереметьево (удобный)</t>
        </is>
      </c>
      <c r="B19" s="5" t="inlineStr">
        <is>
          <t>О-8</t>
        </is>
      </c>
      <c r="C19" s="5" t="inlineStr">
        <is>
          <t>Улан-Удэ SU-1454 21:55; Омск DP-6523 22:00; Новокузнецк SU-1458 22:35; Абакан SU-1478 23:55</t>
        </is>
      </c>
      <c r="D19" s="5" t="n">
        <v>4</v>
      </c>
      <c r="E19" s="5" t="inlineStr">
        <is>
          <t>выезд ~17:00</t>
        </is>
      </c>
      <c r="F19" s="5" t="n">
        <v>1</v>
      </c>
      <c r="G19" s="23" t="n">
        <v>5000</v>
      </c>
      <c r="H19" s="23">
        <f>G19*F19/D19</f>
        <v/>
      </c>
      <c r="I19" s="5" t="inlineStr">
        <is>
          <t>Вечерние рейсы в Сибирь</t>
        </is>
      </c>
    </row>
    <row r="20">
      <c r="A20" s="5" t="inlineStr">
        <is>
          <t>31.10 → Внуково (удобный)</t>
        </is>
      </c>
      <c r="B20" s="5" t="inlineStr">
        <is>
          <t>О-9</t>
        </is>
      </c>
      <c r="C20" s="5" t="inlineStr">
        <is>
          <t>Тюмень UT-463 10:00</t>
        </is>
      </c>
      <c r="D20" s="5" t="n">
        <v>1</v>
      </c>
      <c r="E20" s="5" t="inlineStr">
        <is>
          <t>выезд ~06:45</t>
        </is>
      </c>
      <c r="F20" s="5" t="n">
        <v>1</v>
      </c>
      <c r="G20" s="23" t="n">
        <v>4500</v>
      </c>
      <c r="H20" s="23">
        <f>G20*F20/D20</f>
        <v/>
      </c>
      <c r="I20" s="5" t="inlineStr"/>
    </row>
    <row r="21">
      <c r="A21" s="5" t="inlineStr">
        <is>
          <t>31.10 → Внуково (удобный)</t>
        </is>
      </c>
      <c r="B21" s="5" t="inlineStr">
        <is>
          <t>О-10</t>
        </is>
      </c>
      <c r="C21" s="5" t="inlineStr">
        <is>
          <t>Саратов DP-475 17:55 (2 чел.); Ульяновск DP-485 19:35 (2 чел.)</t>
        </is>
      </c>
      <c r="D21" s="5" t="n">
        <v>4</v>
      </c>
      <c r="E21" s="5" t="inlineStr">
        <is>
          <t>выезд ~13:30</t>
        </is>
      </c>
      <c r="F21" s="5" t="n">
        <v>1</v>
      </c>
      <c r="G21" s="23" t="n">
        <v>4500</v>
      </c>
      <c r="H21" s="23">
        <f>G21*F21/D21</f>
        <v/>
      </c>
      <c r="I21" s="5" t="inlineStr"/>
    </row>
    <row r="22">
      <c r="A22" s="5" t="inlineStr">
        <is>
          <t>30.10 → аэропорты (эконом)</t>
        </is>
      </c>
      <c r="B22" s="5" t="inlineStr">
        <is>
          <t>Э-1</t>
        </is>
      </c>
      <c r="C22" s="5" t="inlineStr">
        <is>
          <t>Домодедово: Новокузнецк S7-2625 23:35; Улан-Удэ S7-3033 22:20; Ревда/Уфа U6-271/—. Внуково: Уфа DP-435 23:40; Екатеринбург DP-403 23:50 (10 чел.); Челябинск DP-413 23:45. Шереметьево: Омск DP-6521 23:45; Тюмень DP-6561 23:50; Магнитогорск SU-1428 00:40</t>
        </is>
      </c>
      <c r="D22" s="5" t="n">
        <v>20</v>
      </c>
      <c r="E22" s="5" t="inlineStr">
        <is>
          <t>выезд 18:15</t>
        </is>
      </c>
      <c r="F22" s="5" t="n">
        <v>4</v>
      </c>
      <c r="G22" s="23" t="n">
        <v>6000</v>
      </c>
      <c r="H22" s="23">
        <f>G22*F22/D22</f>
        <v/>
      </c>
      <c r="I22" s="5" t="inlineStr">
        <is>
          <t>Эконом-вариант: ночные рейсы сразу после конференции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8" customWidth="1" min="3" max="3"/>
    <col width="22" customWidth="1" min="4" max="4"/>
    <col width="45" customWidth="1" min="5" max="5"/>
  </cols>
  <sheetData>
    <row r="1">
      <c r="A1" s="1" t="inlineStr">
        <is>
          <t>Гостиница «Коломна»: пл. Советская, 2, Коломна. Тел. +7 (496) 612-18-96. Заезд с 14:00.</t>
        </is>
      </c>
    </row>
    <row r="3" ht="45" customHeight="1">
      <c r="A3" s="2" t="inlineStr">
        <is>
          <t>Откуда</t>
        </is>
      </c>
      <c r="B3" s="2" t="inlineStr">
        <is>
          <t>Как ехать</t>
        </is>
      </c>
      <c r="C3" s="2" t="inlineStr">
        <is>
          <t>Время (с пробками)</t>
        </is>
      </c>
      <c r="D3" s="2" t="inlineStr">
        <is>
          <t>Стоимость</t>
        </is>
      </c>
      <c r="E3" s="2" t="inlineStr">
        <is>
          <t>Совет</t>
        </is>
      </c>
    </row>
    <row r="4">
      <c r="A4" s="5" t="inlineStr">
        <is>
          <t>Аэропорт Домодедово</t>
        </is>
      </c>
      <c r="B4" s="5" t="inlineStr">
        <is>
          <t>Такси напрямую (~95 км, М-4 / Каширское ш.)</t>
        </is>
      </c>
      <c r="C4" s="5" t="inlineStr">
        <is>
          <t>1 ч 45 мин (ср днём) + 40 мин на выход с багажом</t>
        </is>
      </c>
      <c r="D4" s="5" t="inlineStr">
        <is>
          <t>2 500–4 500 ₽ за машину</t>
        </is>
      </c>
      <c r="E4" s="5" t="inlineStr">
        <is>
          <t>Лучший вариант, особенно группой 2–4 чел.</t>
        </is>
      </c>
    </row>
    <row r="5">
      <c r="A5" s="5" t="inlineStr">
        <is>
          <t>Аэропорт Шереметьево</t>
        </is>
      </c>
      <c r="B5" s="5" t="inlineStr">
        <is>
          <t>Аэроэкспресс → Белорусский вокзал (~40 мин) → метро до Комсомольской (~20 мин) → электричка с Казанского до ст. Коломна → такси 10 мин</t>
        </is>
      </c>
      <c r="C5" s="5" t="inlineStr">
        <is>
          <t>~4 ч</t>
        </is>
      </c>
      <c r="D5" s="5" t="inlineStr">
        <is>
          <t>700 ₽ (650 ₽ при покупке заранее; «Вместе» 2 400 ₽ на 4 чел.) + 490–620 ₽ + ~300 ₽</t>
        </is>
      </c>
      <c r="E5" s="5" t="inlineStr">
        <is>
          <t>Дёшево; зависит от расписания электричек</t>
        </is>
      </c>
    </row>
    <row r="6">
      <c r="A6" s="5" t="inlineStr">
        <is>
          <t>Аэропорт Шереметьево</t>
        </is>
      </c>
      <c r="B6" s="5" t="inlineStr">
        <is>
          <t>Такси напрямую (~150 км)</t>
        </is>
      </c>
      <c r="C6" s="5" t="inlineStr">
        <is>
          <t>~3 ч + 40 мин</t>
        </is>
      </c>
      <c r="D6" s="5" t="inlineStr">
        <is>
          <t>4 200–5 800 ₽ за машину</t>
        </is>
      </c>
      <c r="E6" s="5" t="inlineStr">
        <is>
          <t>Выгодно для 3–4 чел.</t>
        </is>
      </c>
    </row>
    <row r="7">
      <c r="A7" s="5" t="inlineStr">
        <is>
          <t>Аэропорт Внуково</t>
        </is>
      </c>
      <c r="B7" s="5" t="inlineStr">
        <is>
          <t>Метро (ст. «Аэропорт Внуково») → Комсомольская → электричка с Казанского → такси. Аэроэкспресса больше нет</t>
        </is>
      </c>
      <c r="C7" s="5" t="inlineStr">
        <is>
          <t>~3 ч 30 мин</t>
        </is>
      </c>
      <c r="D7" s="5" t="inlineStr">
        <is>
          <t>~90 ₽ + 490–620 ₽ + ~300 ₽</t>
        </is>
      </c>
      <c r="E7" s="5" t="inlineStr"/>
    </row>
    <row r="8">
      <c r="A8" s="5" t="inlineStr">
        <is>
          <t>Аэропорт Внуково</t>
        </is>
      </c>
      <c r="B8" s="5" t="inlineStr">
        <is>
          <t>Такси напрямую (~140 км)</t>
        </is>
      </c>
      <c r="C8" s="5" t="inlineStr">
        <is>
          <t>~2 ч 45 мин + 40 мин</t>
        </is>
      </c>
      <c r="D8" s="5" t="inlineStr">
        <is>
          <t>4 100–5 500 ₽ за машину</t>
        </is>
      </c>
      <c r="E8" s="5" t="inlineStr"/>
    </row>
    <row r="9">
      <c r="A9" s="5" t="inlineStr">
        <is>
          <t>Казанский вокзал</t>
        </is>
      </c>
      <c r="B9" s="5" t="inlineStr">
        <is>
          <t>Электричка до ст. «Коломна» (не Голутвин — ближе к гостинице), затем такси</t>
        </is>
      </c>
      <c r="C9" s="5" t="inlineStr">
        <is>
          <t>1 ч 40 мин – 2 ч 25 мин (РЭКС ~1 ч 45 мин)</t>
        </is>
      </c>
      <c r="D9" s="5" t="inlineStr">
        <is>
          <t>«Стандарт плюс» 490 ₽, РЭКС 620 ₽; такси ~300 ₽</t>
        </is>
      </c>
      <c r="E9" s="5" t="inlineStr">
        <is>
          <t>«Ласточек» до Коломны в продаже нет</t>
        </is>
      </c>
    </row>
    <row r="10">
      <c r="A10" s="5" t="inlineStr">
        <is>
          <t>Павелецкий / Курский / Киевский / Восточный</t>
        </is>
      </c>
      <c r="B10" s="5" t="inlineStr">
        <is>
          <t>Метро или МЦД до Комсомольской (Казанский вокзал), дальше как выше</t>
        </is>
      </c>
      <c r="C10" s="5" t="inlineStr">
        <is>
          <t>+20–30 мин</t>
        </is>
      </c>
      <c r="D10" s="5" t="inlineStr">
        <is>
          <t>~90 ₽</t>
        </is>
      </c>
      <c r="E10" s="5" t="inlineStr">
        <is>
          <t>Закладывать не меньше 40 мин на пересадку</t>
        </is>
      </c>
    </row>
    <row r="11">
      <c r="A11" s="5" t="inlineStr">
        <is>
          <t>Станция Голутвин</t>
        </is>
      </c>
      <c r="B11" s="5" t="inlineStr">
        <is>
          <t>Такси до гостиницы</t>
        </is>
      </c>
      <c r="C11" s="5" t="inlineStr">
        <is>
          <t>~15 мин</t>
        </is>
      </c>
      <c r="D11" s="5" t="inlineStr">
        <is>
          <t>~350 ₽</t>
        </is>
      </c>
      <c r="E11" s="5" t="inlineStr">
        <is>
          <t>Сюда приходят поезда дальнего следования (напр. 213*С из Воронежа в 04:50)</t>
        </is>
      </c>
    </row>
    <row r="14">
      <c r="A14" s="12" t="inlineStr">
        <is>
          <t>Электрички Казанский вокзал → Коломна, 28.10 (ср)</t>
        </is>
      </c>
      <c r="C14" s="12" t="inlineStr">
        <is>
          <t>Коломна → Казанский вокзал, 30.10 (пт)</t>
        </is>
      </c>
    </row>
    <row r="15">
      <c r="A15" t="inlineStr">
        <is>
          <t>07:22 → 09:15</t>
        </is>
      </c>
      <c r="C15" t="inlineStr">
        <is>
          <t>18:43 → 20:47</t>
        </is>
      </c>
    </row>
    <row r="16">
      <c r="A16" t="inlineStr">
        <is>
          <t>08:47 → 10:28 (РЭКС)</t>
        </is>
      </c>
      <c r="C16" t="inlineStr">
        <is>
          <t>19:43 → 22:10</t>
        </is>
      </c>
    </row>
    <row r="17">
      <c r="A17" t="inlineStr">
        <is>
          <t>09:48 → 11:36</t>
        </is>
      </c>
      <c r="C17" t="inlineStr">
        <is>
          <t>20:10 → 22:30</t>
        </is>
      </c>
    </row>
    <row r="18">
      <c r="A18" t="inlineStr">
        <is>
          <t>перерыв до 12:54</t>
        </is>
      </c>
      <c r="C18" t="inlineStr">
        <is>
          <t>21:01 → 22:38 (РЭКС)</t>
        </is>
      </c>
    </row>
    <row r="19">
      <c r="A19" t="inlineStr">
        <is>
          <t>12:54 → 15:15</t>
        </is>
      </c>
      <c r="C19" t="inlineStr">
        <is>
          <t>21:41 → 00:01</t>
        </is>
      </c>
    </row>
    <row r="20">
      <c r="A20" t="inlineStr">
        <is>
          <t>13:35 → 15:22 (РЭКС)</t>
        </is>
      </c>
    </row>
    <row r="22">
      <c r="A22" s="14" t="inlineStr">
        <is>
          <t>Расписание электричек: https://www.tutu.ru/prigorod/ (Москва Казанская — Коломна). Проверка пробок: Яндекс Карты или 2ГИС → «Время и дата отправления».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0" customWidth="1" min="3" max="3"/>
  </cols>
  <sheetData>
    <row r="1">
      <c r="A1" s="1" t="inlineStr">
        <is>
          <t>Параметры расчёта (можно менять — итоги пересчитаются)</t>
        </is>
      </c>
    </row>
    <row r="3">
      <c r="A3" s="24" t="inlineStr">
        <is>
          <t>Доп. ночь в гостинице «Коломна», ₽</t>
        </is>
      </c>
      <c r="B3" s="25" t="n">
        <v>4000</v>
      </c>
      <c r="C3" s="26" t="inlineStr">
        <is>
          <t>Номер от ~3 050 ₽; уточнить корпоративный тариф: +7 (496) 612-18-96</t>
        </is>
      </c>
    </row>
    <row r="4">
      <c r="A4" s="24" t="inlineStr">
        <is>
          <t>Расход топлива, л/100 км</t>
        </is>
      </c>
      <c r="B4" s="25" t="n">
        <v>10</v>
      </c>
      <c r="C4" s="26" t="inlineStr">
        <is>
          <t>Средний легковой автомобиль</t>
        </is>
      </c>
    </row>
    <row r="5">
      <c r="A5" s="24" t="inlineStr">
        <is>
          <t>Цена бензина, ₽/л</t>
        </is>
      </c>
      <c r="B5" s="25" t="n">
        <v>65</v>
      </c>
      <c r="C5" s="26" t="inlineStr">
        <is>
          <t>АИ-95, октябрь 2026 — ориентир</t>
        </is>
      </c>
    </row>
    <row r="7">
      <c r="A7" s="1" t="inlineStr">
        <is>
          <t>Правила подбора маршрутов</t>
        </is>
      </c>
    </row>
    <row r="8" ht="48" customHeight="1">
      <c r="A8" s="20" t="inlineStr">
        <is>
          <t>Ключевые даты</t>
        </is>
      </c>
      <c r="B8" s="5" t="inlineStr">
        <is>
          <t>Экскурсия 28.10 в 16:00 (заселиться к 15:00). Если к 15:00 не успеть — приехать так, чтобы к 9:00 29.10 выспаться. Окончание конференции 30.10 в 18:00.</t>
        </is>
      </c>
    </row>
    <row r="9" ht="48" customHeight="1">
      <c r="A9" s="20" t="inlineStr">
        <is>
          <t>Гостиница</t>
        </is>
      </c>
      <c r="B9" s="5" t="inlineStr">
        <is>
          <t>«Коломна», пл. Советская, 2. Заезд с 14:00. Тел. +7 (496) 612-18-96. При раннем приезде (поезд в 05–07 ч) — камера хранения или ранний заезд, договориться заранее.</t>
        </is>
      </c>
    </row>
    <row r="10" ht="48" customHeight="1">
      <c r="A10" s="20" t="inlineStr">
        <is>
          <t>Два варианта</t>
        </is>
      </c>
      <c r="B10" s="5" t="inlineStr">
        <is>
          <t>«Самый дешёвый» — минимальная цена (ранние вылеты, ночные рейсы, ночные поезда допускаются). «Удобный» — без подъёма среди ночи и без ночи в дороге. Если самый дешёвый вариант и есть удобный — показан один (пометка «Самый дешёвый = Удобный»).</t>
        </is>
      </c>
    </row>
    <row r="11" ht="48" customHeight="1">
      <c r="A11" s="20" t="inlineStr">
        <is>
          <t>Критерии удобного варианта</t>
        </is>
      </c>
      <c r="B11" s="5" t="inlineStr">
        <is>
          <t>Туда: вылет/отправление не раньше ~09:00 (подъём не раньше 5:30–6:00); приезд в Коломну до 22–23 ч 28.10 (экскурсию можно пропустить) или днём накануне с ночёвкой. Обратно: не ночным рейсом сразу после конференции, а 31.10 днём после ночи в гостинице (+1 ночь). Вылеты в 23:00–00:40 и ночные поезда отнесены к эконому.</t>
        </is>
      </c>
    </row>
    <row r="12" ht="48" customHeight="1">
      <c r="A12" s="20" t="inlineStr">
        <is>
          <t>Где удобного обратного рейса нет</t>
        </is>
      </c>
      <c r="B12" s="5" t="inlineStr">
        <is>
          <t>Омск, Абакан, Новокузнецк, Улан-Удэ, Чита: из Москвы летают только вечером/ночью (разница во времени 3–6 ч). В удобном варианте — вечерний рейс 31.10 после дня отдыха. Магнитогорск: прямые только 00:40 и 07:40 — удобный через Челябинск + автобус. Донецк: ночной переезд неизбежен, удобный — в купе.</t>
        </is>
      </c>
    </row>
    <row r="13" ht="48" customHeight="1">
      <c r="A13" s="20" t="inlineStr">
        <is>
          <t>Самолёты</t>
        </is>
      </c>
      <c r="B13" s="5" t="inlineStr">
        <is>
          <t>Только эконом. Две цены: без багажа (только ручная кладь) и с багажом. Цены — обычные, за один билет (групповых тарифов и скидок нет), на 28.09.2026, быстро меняются. Когда на один рейс летят несколько человек, билеты лучше купить заранее и сразу.</t>
        </is>
      </c>
    </row>
    <row r="14" ht="48" customHeight="1">
      <c r="A14" s="20" t="inlineStr">
        <is>
          <t>Аэропорт</t>
        </is>
      </c>
      <c r="B14" s="5" t="inlineStr">
        <is>
          <t>В аэропорту минимум за 2 часа до вылета (Москва и крупные города); в небольших городах — за 1,5 часа. Учитывать время подъёма и дорогу до аэропорта: рейсы с вылетом до ~07:00 означают подъём среди ночи.</t>
        </is>
      </c>
    </row>
    <row r="15" ht="48" customHeight="1">
      <c r="A15" s="20" t="inlineStr">
        <is>
          <t>Пробки</t>
        </is>
      </c>
      <c r="B15" s="5" t="inlineStr">
        <is>
          <t>Время такси заложено с учётом пробок: среда 28.10 днём (DME→Коломна 1 ч 45 мин, SVO ~3 ч, VKO ~2 ч 45 мин + 40 мин на выход с багажом); пятница 30.10 вечером, выезд 18:15: DME ~2 ч, VKO ~3 ч, SVO ~3 ч 30 мин; суббота 31.10 утром: DME 1 ч 30 мин, VKO 2 ч 15 мин, SVO 2 ч 30 мин.</t>
        </is>
      </c>
    </row>
    <row r="16" ht="48" customHeight="1">
      <c r="A16" s="20" t="inlineStr">
        <is>
          <t>Вечерний вылет 30.10 возможен, если</t>
        </is>
      </c>
      <c r="B16" s="5" t="inlineStr">
        <is>
          <t>Домодедово — вылет не раньше ~22:15; Внуково — ~23:15; Шереметьево — ~23:45. Иначе — 31.10 + доп. ночь.</t>
        </is>
      </c>
    </row>
    <row r="17" ht="48" customHeight="1">
      <c r="A17" s="20" t="inlineStr">
        <is>
          <t>Поезда</t>
        </is>
      </c>
      <c r="B17" s="5" t="inlineStr">
        <is>
          <t>Только купе или сидячие, без плацкарта. Не более суток в пути. Идеал — вечером сел, днём в Коломне.</t>
        </is>
      </c>
    </row>
    <row r="18" ht="48" customHeight="1">
      <c r="A18" s="20" t="inlineStr">
        <is>
          <t>Машина</t>
        </is>
      </c>
      <c r="B18" s="5" t="inlineStr">
        <is>
          <t>Для городов до 600 км. Совместные поездки предложены, если по пути. Для водителей после конференции безопаснее выезд 31.10 утром (+ ночь).</t>
        </is>
      </c>
    </row>
    <row r="19" ht="48" customHeight="1">
      <c r="A19" s="20" t="inlineStr">
        <is>
          <t>Проверка пробок</t>
        </is>
      </c>
      <c r="B19" s="5" t="inlineStr">
        <is>
          <t>Яндекс Карты или 2ГИС: построить маршрут → «Время и дата отправления» → выбрать 28.10 и нужный час. Покажут прогноз по статистике пробок.</t>
        </is>
      </c>
    </row>
    <row r="20" ht="48" customHeight="1">
      <c r="A20" s="20" t="inlineStr">
        <is>
          <t>Ссылки</t>
        </is>
      </c>
      <c r="B20" s="5" t="inlineStr">
        <is>
          <t>Ссылки ведут на поиск Туту.ру по направлению и дате. Где ссылка общая (avia.tutu.ru / tutu.ru/poezda) — ввести города и дату вручную.</t>
        </is>
      </c>
    </row>
    <row r="21" ht="48" customHeight="1">
      <c r="A21" s="20" t="inlineStr">
        <is>
          <t>Что проверить</t>
        </is>
      </c>
      <c r="B21" s="5" t="inlineStr">
        <is>
          <t>Строки с пометкой «проверить» посчитаны по расписанию соседнего дня. Донецк: автобусы из ДНР продаются у перевозчиков, не на Туту; многие ходят через день — уточнить дату.</t>
        </is>
      </c>
    </row>
  </sheetData>
  <mergeCells count="14">
    <mergeCell ref="B13:C13"/>
    <mergeCell ref="B21:C21"/>
    <mergeCell ref="B16:C16"/>
    <mergeCell ref="B15:C15"/>
    <mergeCell ref="B11:C11"/>
    <mergeCell ref="B19:C19"/>
    <mergeCell ref="B20:C20"/>
    <mergeCell ref="B10:C10"/>
    <mergeCell ref="B14:C14"/>
    <mergeCell ref="B17:C17"/>
    <mergeCell ref="B9:C9"/>
    <mergeCell ref="B8:C8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2026-09-29T07:23:45Z</dcterms:created>
  <dcterms:modified xsi:type="dcterms:W3CDTF">2026-09-29T07:23:45Z</dcterms:modified>
</cp:coreProperties>
</file>