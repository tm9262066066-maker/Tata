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сотрудникам'!$A$4:$S$43</definedName>
    <definedName name="_xlnm._FilterDatabase" localSheetId="1" hidden="1">'Маршруты'!$A$1:$Q$114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www.tutu.ru/poezda/rasp_d.php?date=27.10.2026&amp;nnst1=2024120&amp;nnst2=2000000" TargetMode="External" Id="rId89" /><Relationship Type="http://schemas.openxmlformats.org/officeDocument/2006/relationships/hyperlink" Target="https://www.tutu.ru/poezda/rasp_d.php?date=27.10.2026&amp;nnst1=2024700&amp;nnst2=2000000" TargetMode="External" Id="rId90" /><Relationship Type="http://schemas.openxmlformats.org/officeDocument/2006/relationships/hyperlink" Target="https://www.tutu.ru/poezda/rasp_d.php?date=27.10.2026&amp;nnst1=2014700&amp;nnst2=2000000" TargetMode="External" Id="rId91" /><Relationship Type="http://schemas.openxmlformats.org/officeDocument/2006/relationships/hyperlink" Target="https://www.tutu.ru/poezda/rasp_d.php?date=27.10.2026&amp;nnst1=2014130&amp;nnst2=2000000" TargetMode="External" Id="rId92" /><Relationship Type="http://schemas.openxmlformats.org/officeDocument/2006/relationships/hyperlink" Target="https://www.tutu.ru/poezda/rasp_d.php?date=27.10.2026&amp;nnst1=2014000&amp;nnst2=2000000" TargetMode="External" Id="rId93" /><Relationship Type="http://schemas.openxmlformats.org/officeDocument/2006/relationships/hyperlink" Target="https://www.tutu.ru/poezda/rasp_d.php?date=27.10.2026&amp;nnst1=2000140&amp;nnst2=2000000" TargetMode="External" Id="rId94" /><Relationship Type="http://schemas.openxmlformats.org/officeDocument/2006/relationships/hyperlink" Target="https://www.tutu.ru/poezda/rasp_d.php?date=27.10.2026&amp;nnst1=2000427&amp;nnst2=2000000" TargetMode="External" Id="rId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Такси на 4 чел.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Такси на 4 чел.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Такси на 4 чел.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Такси на 4 чел.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уточнить</t>
        </is>
      </c>
      <c r="F41" s="6" t="n"/>
      <c r="G41" s="6" t="n"/>
      <c r="H41" s="6" t="n"/>
      <c r="I41" s="6" t="n"/>
      <c r="J41" s="6" t="n"/>
      <c r="K41" s="7" t="n"/>
      <c r="L41" s="6" t="n"/>
      <c r="M41" s="6" t="n"/>
      <c r="N41" s="9" t="n"/>
      <c r="O41" s="9" t="n"/>
      <c r="P41" s="9" t="n"/>
      <c r="Q41" s="10" t="n"/>
      <c r="R41" s="9" t="n"/>
      <c r="S41" s="5" t="inlineStr">
        <is>
          <t>Нет данных Туту по Донецку — см. лист «Маршруты»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B44" s="12" t="inlineStr">
        <is>
          <t>ИТОГО по списку</t>
        </is>
      </c>
      <c r="L44" s="13">
        <f>SUM(L5:L43)</f>
        <v/>
      </c>
      <c r="M44" s="13">
        <f>SUM(M5:M43)</f>
        <v/>
      </c>
      <c r="R44" s="13">
        <f>SUM(R5:R43)</f>
        <v/>
      </c>
    </row>
    <row r="45">
      <c r="B45" s="14" t="inlineStr">
        <is>
          <t>Сотрудников в списке: 39 (Донецк не посчитан). Ориентир на 65 человек — пропорционально.</t>
        </is>
      </c>
    </row>
  </sheetData>
  <autoFilter ref="A4:S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4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одно такси на 4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4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4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4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4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</t>
        </is>
      </c>
      <c r="B107" s="16" t="n">
        <v>1</v>
      </c>
      <c r="C107" s="16" t="inlineStr">
        <is>
          <t>Все варианты</t>
        </is>
      </c>
      <c r="D107" s="16" t="inlineStr">
        <is>
          <t>—</t>
        </is>
      </c>
      <c r="E107" s="16" t="inlineStr">
        <is>
          <t>уточнить</t>
        </is>
      </c>
      <c r="F107" s="16" t="inlineStr"/>
      <c r="G107" s="16" t="inlineStr"/>
      <c r="H107" s="16" t="inlineStr"/>
      <c r="I107" s="16" t="inlineStr"/>
      <c r="J107" s="16" t="n"/>
      <c r="K107" s="16" t="n"/>
      <c r="L107" s="16" t="inlineStr"/>
      <c r="M107" s="16" t="inlineStr"/>
      <c r="N107" s="16" t="inlineStr"/>
      <c r="O107" s="16" t="inlineStr"/>
      <c r="P107" s="16" t="inlineStr">
        <is>
          <t>На Туту нет билетов из Донецка (ДНР). Варианты: поезд Донецк — Москва на rzd.ru; автобус; или машина/автобус до Ростова + самолёт Платов → Москва. Уточнить город (есть Донецк и в Ростовской обл.)</t>
        </is>
      </c>
      <c r="Q107" s="16" t="inlineStr"/>
    </row>
    <row r="108">
      <c r="A108" s="15" t="inlineStr">
        <is>
          <t>Пенза</t>
        </is>
      </c>
      <c r="B108" s="16" t="n">
        <v>1</v>
      </c>
      <c r="C108" s="16" t="inlineStr">
        <is>
          <t>В1: к 15:00 28.10</t>
        </is>
      </c>
      <c r="D108" s="16" t="inlineStr">
        <is>
          <t>Альтернатива: поезд</t>
        </is>
      </c>
      <c r="E108" s="16" t="inlineStr">
        <is>
          <t>Поезд «Сура», купе (сидячий 3 030)</t>
        </is>
      </c>
      <c r="F108" s="16" t="inlineStr">
        <is>
          <t>052М</t>
        </is>
      </c>
      <c r="G108" s="16" t="inlineStr">
        <is>
          <t>27.10 21:35</t>
        </is>
      </c>
      <c r="H108" s="16" t="inlineStr">
        <is>
          <t>28.10 07:59</t>
        </is>
      </c>
      <c r="I108" s="16" t="inlineStr">
        <is>
          <t>Москва, Казанский</t>
        </is>
      </c>
      <c r="J108" s="24" t="n">
        <v>3967</v>
      </c>
      <c r="K108" s="24" t="n">
        <v>3967</v>
      </c>
      <c r="L108" s="16" t="inlineStr">
        <is>
          <t>Казанский вокзал → электричка до ст. Коломна (490–620 ₽) + такси 10 мин (~300 ₽) (09:48 → 11:36)</t>
        </is>
      </c>
      <c r="M108" s="16" t="inlineStr">
        <is>
          <t>~12:00</t>
        </is>
      </c>
      <c r="N108" s="16" t="inlineStr"/>
      <c r="O108" s="19" t="inlineStr">
        <is>
          <t>https://www.tutu.ru/poezda/rasp_d.php?date=27.10.2026&amp;nnst1=2024120&amp;nnst2=2000000</t>
        </is>
      </c>
      <c r="P108" s="16" t="inlineStr">
        <is>
          <t>Основной вариант — машина (лист «Авто»)</t>
        </is>
      </c>
      <c r="Q108" s="16" t="inlineStr">
        <is>
          <t>проверить</t>
        </is>
      </c>
    </row>
    <row r="109">
      <c r="A109" s="15" t="inlineStr">
        <is>
          <t>Саранск</t>
        </is>
      </c>
      <c r="B109" s="16" t="n">
        <v>1</v>
      </c>
      <c r="C109" s="16" t="inlineStr">
        <is>
          <t>В1: к 15:00 28.10</t>
        </is>
      </c>
      <c r="D109" s="16" t="inlineStr">
        <is>
          <t>Альтернатива: поезд</t>
        </is>
      </c>
      <c r="E109" s="16" t="inlineStr">
        <is>
          <t>Поезд, купе</t>
        </is>
      </c>
      <c r="F109" s="16" t="inlineStr">
        <is>
          <t>041Й</t>
        </is>
      </c>
      <c r="G109" s="16" t="inlineStr">
        <is>
          <t>27.10 20:40</t>
        </is>
      </c>
      <c r="H109" s="16" t="inlineStr">
        <is>
          <t>28.10 05:50</t>
        </is>
      </c>
      <c r="I109" s="16" t="inlineStr">
        <is>
          <t>Москва, Казанский</t>
        </is>
      </c>
      <c r="J109" s="24" t="n">
        <v>4394</v>
      </c>
      <c r="K109" s="24" t="n">
        <v>4394</v>
      </c>
      <c r="L109" s="16" t="inlineStr">
        <is>
          <t>Казанский вокзал → электричка до ст. Коломна (490–620 ₽) + такси 10 мин (~300 ₽) (07:22 → 09:15)</t>
        </is>
      </c>
      <c r="M109" s="16" t="inlineStr">
        <is>
          <t>~09:30</t>
        </is>
      </c>
      <c r="N109" s="16" t="inlineStr">
        <is>
          <t>ранний заезд</t>
        </is>
      </c>
      <c r="O109" s="19" t="inlineStr">
        <is>
          <t>https://www.tutu.ru/poezda/rasp_d.php?date=27.10.2026&amp;nnst1=2024700&amp;nnst2=2000000</t>
        </is>
      </c>
      <c r="P109" s="16" t="inlineStr">
        <is>
          <t>Основной вариант — машина</t>
        </is>
      </c>
      <c r="Q109" s="16" t="inlineStr">
        <is>
          <t>проверить</t>
        </is>
      </c>
    </row>
    <row r="110">
      <c r="A110" s="15" t="inlineStr">
        <is>
          <t>Тамбов</t>
        </is>
      </c>
      <c r="B110" s="16" t="n">
        <v>1</v>
      </c>
      <c r="C110" s="16" t="inlineStr">
        <is>
          <t>В1: к 15:00 28.10</t>
        </is>
      </c>
      <c r="D110" s="16" t="inlineStr">
        <is>
          <t>Альтернатива: поезд</t>
        </is>
      </c>
      <c r="E110" s="16" t="inlineStr">
        <is>
          <t>Поезд, сидячий (купе 2 868)</t>
        </is>
      </c>
      <c r="F110" s="16" t="inlineStr">
        <is>
          <t>135Ж</t>
        </is>
      </c>
      <c r="G110" s="16" t="inlineStr">
        <is>
          <t>27.10 21:56</t>
        </is>
      </c>
      <c r="H110" s="16" t="inlineStr">
        <is>
          <t>28.10 07:22</t>
        </is>
      </c>
      <c r="I110" s="16" t="inlineStr">
        <is>
          <t>Москва, Павелецкий</t>
        </is>
      </c>
      <c r="J110" s="24" t="n">
        <v>1979</v>
      </c>
      <c r="K110" s="24" t="n">
        <v>1979</v>
      </c>
      <c r="L110" s="16" t="inlineStr">
        <is>
          <t>Павелецкий → метро до Комсомольской (~20 мин) → электричка от Казанского + такси (08:47 РЭКС → 10:28)</t>
        </is>
      </c>
      <c r="M110" s="16" t="inlineStr">
        <is>
          <t>~10:45</t>
        </is>
      </c>
      <c r="N110" s="16" t="inlineStr"/>
      <c r="O110" s="19" t="inlineStr">
        <is>
          <t>https://www.tutu.ru/poezda/rasp_d.php?date=27.10.2026&amp;nnst1=2014700&amp;nnst2=2000000</t>
        </is>
      </c>
      <c r="P110" s="16" t="inlineStr">
        <is>
          <t>Основной вариант — машина. Купе осталось 1 место</t>
        </is>
      </c>
      <c r="Q110" s="16" t="inlineStr">
        <is>
          <t>проверить</t>
        </is>
      </c>
    </row>
    <row r="111">
      <c r="A111" s="15" t="inlineStr">
        <is>
          <t>Липецк</t>
        </is>
      </c>
      <c r="B111" s="16" t="n">
        <v>3</v>
      </c>
      <c r="C111" s="16" t="inlineStr">
        <is>
          <t>В1: к 15:00 28.10</t>
        </is>
      </c>
      <c r="D111" s="16" t="inlineStr">
        <is>
          <t>Альтернатива: поезд</t>
        </is>
      </c>
      <c r="E111" s="16" t="inlineStr">
        <is>
          <t>Поезд, купе</t>
        </is>
      </c>
      <c r="F111" s="16" t="inlineStr">
        <is>
          <t>033С</t>
        </is>
      </c>
      <c r="G111" s="16" t="inlineStr">
        <is>
          <t>27.10 23:15</t>
        </is>
      </c>
      <c r="H111" s="16" t="inlineStr">
        <is>
          <t>28.10 08:08</t>
        </is>
      </c>
      <c r="I111" s="16" t="inlineStr">
        <is>
          <t>Москва, Павелецкий</t>
        </is>
      </c>
      <c r="J111" s="24" t="n">
        <v>4049</v>
      </c>
      <c r="K111" s="24" t="n">
        <v>4049</v>
      </c>
      <c r="L111" s="16" t="inlineStr">
        <is>
          <t>Павелецкий → метро до Комсомольской (~20 мин) → электричка от Казанского + такси (09:48 → 11:36)</t>
        </is>
      </c>
      <c r="M111" s="16" t="inlineStr">
        <is>
          <t>~12:00</t>
        </is>
      </c>
      <c r="N111" s="16" t="inlineStr"/>
      <c r="O111" s="19" t="inlineStr">
        <is>
          <t>https://www.tutu.ru/poezda/rasp_d.php?date=27.10.2026&amp;nnst1=2014130&amp;nnst2=2000000</t>
        </is>
      </c>
      <c r="P111" s="16" t="inlineStr">
        <is>
          <t>Основной вариант — одна машина на троих</t>
        </is>
      </c>
      <c r="Q111" s="16" t="inlineStr">
        <is>
          <t>проверить</t>
        </is>
      </c>
    </row>
    <row r="112">
      <c r="A112" s="15" t="inlineStr">
        <is>
          <t>Воронеж</t>
        </is>
      </c>
      <c r="B112" s="16" t="n">
        <v>2</v>
      </c>
      <c r="C112" s="16" t="inlineStr">
        <is>
          <t>В1: к 15:00 28.10</t>
        </is>
      </c>
      <c r="D112" s="16" t="inlineStr">
        <is>
          <t>Альтернатива: поезд</t>
        </is>
      </c>
      <c r="E112" s="16" t="inlineStr">
        <is>
          <t>Поезд «Ингушетия», купе</t>
        </is>
      </c>
      <c r="F112" s="16" t="inlineStr">
        <is>
          <t>145С</t>
        </is>
      </c>
      <c r="G112" s="16" t="inlineStr">
        <is>
          <t>27.10 23:17</t>
        </is>
      </c>
      <c r="H112" s="16" t="inlineStr">
        <is>
          <t>28.10 07:24</t>
        </is>
      </c>
      <c r="I112" s="16" t="inlineStr">
        <is>
          <t>Москва, Казанский</t>
        </is>
      </c>
      <c r="J112" s="24" t="n">
        <v>4045</v>
      </c>
      <c r="K112" s="24" t="n">
        <v>4045</v>
      </c>
      <c r="L112" s="16" t="inlineStr">
        <is>
          <t>Казанский вокзал → электричка до ст. Коломна (490–620 ₽) + такси 10 мин (~300 ₽) (08:47 РЭКС → 10:28)</t>
        </is>
      </c>
      <c r="M112" s="16" t="inlineStr">
        <is>
          <t>~10:45</t>
        </is>
      </c>
      <c r="N112" s="16" t="inlineStr"/>
      <c r="O112" s="19" t="inlineStr">
        <is>
          <t>https://www.tutu.ru/poezda/rasp_d.php?date=27.10.2026&amp;nnst1=2014000&amp;nnst2=2000000</t>
        </is>
      </c>
      <c r="P112" s="16" t="inlineStr">
        <is>
          <t>Или 213*С 21:09 — прямо до Голутвина (Коломна) в 04:50</t>
        </is>
      </c>
      <c r="Q112" s="16" t="inlineStr">
        <is>
          <t>проверить</t>
        </is>
      </c>
    </row>
    <row r="113">
      <c r="A113" s="15" t="inlineStr">
        <is>
          <t>Орёл</t>
        </is>
      </c>
      <c r="B113" s="16" t="n">
        <v>1</v>
      </c>
      <c r="C113" s="16" t="inlineStr">
        <is>
          <t>В1: к 15:00 28.10</t>
        </is>
      </c>
      <c r="D113" s="16" t="inlineStr">
        <is>
          <t>Альтернатива: поезд</t>
        </is>
      </c>
      <c r="E113" s="16" t="inlineStr">
        <is>
          <t>Поезд, купе</t>
        </is>
      </c>
      <c r="F113" s="16" t="inlineStr">
        <is>
          <t>084С</t>
        </is>
      </c>
      <c r="G113" s="16" t="inlineStr">
        <is>
          <t>27.10 23:37</t>
        </is>
      </c>
      <c r="H113" s="16" t="inlineStr">
        <is>
          <t>28.10 08:40</t>
        </is>
      </c>
      <c r="I113" s="16" t="inlineStr">
        <is>
          <t>Москва, Киевский</t>
        </is>
      </c>
      <c r="J113" s="24" t="n">
        <v>3655</v>
      </c>
      <c r="K113" s="24" t="n">
        <v>3655</v>
      </c>
      <c r="L113" s="16" t="inlineStr">
        <is>
          <t>Киевский → метро до Комсомольской (~25 мин) → электричка + такси (09:48 → 11:36)</t>
        </is>
      </c>
      <c r="M113" s="16" t="inlineStr">
        <is>
          <t>~12:00</t>
        </is>
      </c>
      <c r="N113" s="16" t="inlineStr"/>
      <c r="O113" s="19" t="inlineStr">
        <is>
          <t>https://www.tutu.ru/poezda/rasp_d.php?date=27.10.2026&amp;nnst1=2000140&amp;nnst2=2000000</t>
        </is>
      </c>
      <c r="P113" s="16" t="inlineStr">
        <is>
          <t>Основной вариант — машина вместе с Брянском</t>
        </is>
      </c>
      <c r="Q113" s="16" t="inlineStr">
        <is>
          <t>проверить</t>
        </is>
      </c>
    </row>
    <row r="114">
      <c r="A114" s="15" t="inlineStr">
        <is>
          <t>Брянск</t>
        </is>
      </c>
      <c r="B114" s="16" t="n">
        <v>1</v>
      </c>
      <c r="C114" s="16" t="inlineStr">
        <is>
          <t>В1: к 15:00 28.10</t>
        </is>
      </c>
      <c r="D114" s="16" t="inlineStr">
        <is>
          <t>Альтернатива: поезд</t>
        </is>
      </c>
      <c r="E114" s="16" t="inlineStr">
        <is>
          <t>Поезд, сидячий (купе 3 180)</t>
        </is>
      </c>
      <c r="F114" s="16" t="inlineStr">
        <is>
          <t>086Щ</t>
        </is>
      </c>
      <c r="G114" s="16" t="inlineStr">
        <is>
          <t>28.10 00:20</t>
        </is>
      </c>
      <c r="H114" s="16" t="inlineStr">
        <is>
          <t>28.10 06:20</t>
        </is>
      </c>
      <c r="I114" s="16" t="inlineStr">
        <is>
          <t>Москва, Киевский</t>
        </is>
      </c>
      <c r="J114" s="24" t="n">
        <v>1749</v>
      </c>
      <c r="K114" s="24" t="n">
        <v>1749</v>
      </c>
      <c r="L114" s="16" t="inlineStr">
        <is>
          <t>Киевский → метро до Комсомольской (~25 мин) → электричка + такси (07:22 → 09:15)</t>
        </is>
      </c>
      <c r="M114" s="16" t="inlineStr">
        <is>
          <t>~09:30</t>
        </is>
      </c>
      <c r="N114" s="16" t="inlineStr">
        <is>
          <t>ранний заезд</t>
        </is>
      </c>
      <c r="O114" s="19" t="inlineStr">
        <is>
          <t>https://www.tutu.ru/poezda/rasp_d.php?date=27.10.2026&amp;nnst1=2000427&amp;nnst2=2000000</t>
        </is>
      </c>
      <c r="P114" s="16" t="inlineStr">
        <is>
          <t>Время по расписанию 27.10. Основной вариант — машина</t>
        </is>
      </c>
      <c r="Q114" s="16" t="inlineStr">
        <is>
          <t>проверить</t>
        </is>
      </c>
    </row>
  </sheetData>
  <autoFilter ref="A1:Q114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8" r:id="rId89"/>
    <hyperlink xmlns:r="http://schemas.openxmlformats.org/officeDocument/2006/relationships" ref="O109" r:id="rId90"/>
    <hyperlink xmlns:r="http://schemas.openxmlformats.org/officeDocument/2006/relationships" ref="O110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Д-2</t>
        </is>
      </c>
      <c r="C3" s="5" t="inlineStr">
        <is>
          <t>Улан-Удэ S7-3032 08:45; Ревда U6-262 08:55; Иркутск U6-106 09:10 (4 чел.)</t>
        </is>
      </c>
      <c r="D3" s="5" t="n">
        <v>6</v>
      </c>
      <c r="E3" s="5" t="inlineStr">
        <is>
          <t>сбор ~09:40</t>
        </is>
      </c>
      <c r="F3" s="5" t="n">
        <v>2</v>
      </c>
      <c r="G3" s="21" t="n">
        <v>3500</v>
      </c>
      <c r="H3" s="21">
        <f>G3*F3/D3</f>
        <v/>
      </c>
      <c r="I3" s="5" t="inlineStr">
        <is>
          <t>Иркутск — отдельная машина на 4</t>
        </is>
      </c>
    </row>
    <row r="4">
      <c r="A4" s="5" t="inlineStr">
        <is>
          <t>28.10 Домодедово</t>
        </is>
      </c>
      <c r="B4" s="5" t="inlineStr">
        <is>
          <t>Д-3</t>
        </is>
      </c>
      <c r="C4" s="5" t="inlineStr">
        <is>
          <t>Новокузнецк S7-2626 10:00; Чита S7-3018 10:55 (+ Иркутск, если выберет S7-3018)</t>
        </is>
      </c>
      <c r="D4" s="5" t="n">
        <v>2</v>
      </c>
      <c r="E4" s="5" t="inlineStr">
        <is>
          <t>сбор ~11:30</t>
        </is>
      </c>
      <c r="F4" s="5" t="n">
        <v>1</v>
      </c>
      <c r="G4" s="21" t="n">
        <v>3500</v>
      </c>
      <c r="H4" s="21">
        <f>G4*F4/D4</f>
        <v/>
      </c>
      <c r="I4" s="5" t="inlineStr"/>
    </row>
    <row r="5">
      <c r="A5" s="5" t="inlineStr">
        <is>
          <t>28.10 Шереметьево (эконом)</t>
        </is>
      </c>
      <c r="B5" s="5" t="inlineStr">
        <is>
          <t>Ш-1</t>
        </is>
      </c>
      <c r="C5" s="5" t="inlineStr">
        <is>
          <t>Омск DP-6522 07:45; Новосибирск DP-6526 08:20 (3 чел.)</t>
        </is>
      </c>
      <c r="D5" s="5" t="n">
        <v>4</v>
      </c>
      <c r="E5" s="5" t="inlineStr">
        <is>
          <t>сбор ~09:00</t>
        </is>
      </c>
      <c r="F5" s="5" t="n">
        <v>1</v>
      </c>
      <c r="G5" s="21" t="n">
        <v>5000</v>
      </c>
      <c r="H5" s="21">
        <f>G5*F5/D5</f>
        <v/>
      </c>
      <c r="I5" s="5" t="inlineStr">
        <is>
          <t>Или аэроэкспресс «Вместе» на 4 чел. 2 400 ₽ + электричка</t>
        </is>
      </c>
    </row>
    <row r="6">
      <c r="A6" s="5" t="inlineStr">
        <is>
          <t>28.10 Шереметьево (эконом)</t>
        </is>
      </c>
      <c r="B6" s="5" t="inlineStr">
        <is>
          <t>Ш-2</t>
        </is>
      </c>
      <c r="C6" s="5" t="inlineStr">
        <is>
          <t>Красноярск DP-6548 09:25; Новокузнецк SU-1459 09:05 (удобный)</t>
        </is>
      </c>
      <c r="D6" s="5" t="n">
        <v>2</v>
      </c>
      <c r="E6" s="5" t="inlineStr">
        <is>
          <t>сбор ~10:00</t>
        </is>
      </c>
      <c r="F6" s="5" t="n">
        <v>1</v>
      </c>
      <c r="G6" s="21" t="n">
        <v>5000</v>
      </c>
      <c r="H6" s="21">
        <f>G6*F6/D6</f>
        <v/>
      </c>
      <c r="I6" s="5" t="inlineStr"/>
    </row>
    <row r="7">
      <c r="A7" s="5" t="inlineStr">
        <is>
          <t>28.10 Шереметьево</t>
        </is>
      </c>
      <c r="B7" s="5" t="inlineStr">
        <is>
          <t>Ш-3</t>
        </is>
      </c>
      <c r="C7" s="5" t="inlineStr">
        <is>
          <t>Ульяновск SU-6076 11:00 (2 чел.); Самара SU-1603 11:15</t>
        </is>
      </c>
      <c r="D7" s="5" t="n">
        <v>3</v>
      </c>
      <c r="E7" s="5" t="inlineStr">
        <is>
          <t>сбор ~11:45</t>
        </is>
      </c>
      <c r="F7" s="5" t="n">
        <v>1</v>
      </c>
      <c r="G7" s="21" t="n">
        <v>5000</v>
      </c>
      <c r="H7" s="21">
        <f>G7*F7/D7</f>
        <v/>
      </c>
      <c r="I7" s="5" t="inlineStr">
        <is>
          <t>Успевают к ~15:00</t>
        </is>
      </c>
    </row>
    <row r="8">
      <c r="A8" s="5" t="inlineStr">
        <is>
          <t>28.10 Внуково</t>
        </is>
      </c>
      <c r="B8" s="5" t="inlineStr">
        <is>
          <t>В-1</t>
        </is>
      </c>
      <c r="C8" s="5" t="inlineStr">
        <is>
          <t>Уфа DP-436 07:20; Ревда DP-404 07:30 (эконом); Красноярск UT-572 08:15 (удобный)</t>
        </is>
      </c>
      <c r="D8" s="5" t="n">
        <v>3</v>
      </c>
      <c r="E8" s="5" t="inlineStr">
        <is>
          <t>сбор ~08:30</t>
        </is>
      </c>
      <c r="F8" s="5" t="n">
        <v>1</v>
      </c>
      <c r="G8" s="21" t="n">
        <v>4800</v>
      </c>
      <c r="H8" s="21">
        <f>G8*F8/D8</f>
        <v/>
      </c>
      <c r="I8" s="5" t="inlineStr">
        <is>
          <t>Или метро + электричка (~900 ₽/чел.)</t>
        </is>
      </c>
    </row>
    <row r="9">
      <c r="A9" s="5" t="inlineStr">
        <is>
          <t>30.10 → Домодедово</t>
        </is>
      </c>
      <c r="B9" s="5" t="inlineStr">
        <is>
          <t>О-1</t>
        </is>
      </c>
      <c r="C9" s="5" t="inlineStr">
        <is>
          <t>Улан-Удэ S7-3033 22:20; Новосибирск S7-2513 23:00 (удобный, 3 чел.); Омск U6-387 23:05; Новокузнецк S7-2625 23:35; Ревда U6-271 23:45</t>
        </is>
      </c>
      <c r="D9" s="5" t="n">
        <v>7</v>
      </c>
      <c r="E9" s="5" t="inlineStr">
        <is>
          <t>выезд из гостиницы 18:15</t>
        </is>
      </c>
      <c r="F9" s="5" t="n">
        <v>2</v>
      </c>
      <c r="G9" s="21" t="n">
        <v>3500</v>
      </c>
      <c r="H9" s="21">
        <f>G9*F9/D9</f>
        <v/>
      </c>
      <c r="I9" s="5" t="inlineStr">
        <is>
          <t>Минивэн на 7–8 мест выгоднее</t>
        </is>
      </c>
    </row>
    <row r="10">
      <c r="A10" s="5" t="inlineStr">
        <is>
          <t>30.10 → Шереметьево</t>
        </is>
      </c>
      <c r="B10" s="5" t="inlineStr">
        <is>
          <t>О-2</t>
        </is>
      </c>
      <c r="C10" s="5" t="inlineStr">
        <is>
          <t>Омск DP-6521 23:45 (эконом); Оренбург SU-6171 00:45 / 5N-231 02:40</t>
        </is>
      </c>
      <c r="D10" s="5" t="n">
        <v>2</v>
      </c>
      <c r="E10" s="5" t="inlineStr">
        <is>
          <t>выезд 18:15–19:00</t>
        </is>
      </c>
      <c r="F10" s="5" t="n">
        <v>1</v>
      </c>
      <c r="G10" s="21" t="n">
        <v>5000</v>
      </c>
      <c r="H10" s="21">
        <f>G10*F10/D10</f>
        <v/>
      </c>
      <c r="I10" s="5" t="inlineStr">
        <is>
          <t>Или электричка + аэроэкспресс</t>
        </is>
      </c>
    </row>
    <row r="11">
      <c r="A11" s="5" t="inlineStr">
        <is>
          <t>30.10 → Внуково</t>
        </is>
      </c>
      <c r="B11" s="5" t="inlineStr">
        <is>
          <t>О-3</t>
        </is>
      </c>
      <c r="C11" s="5" t="inlineStr">
        <is>
          <t>Уфа DP-435 23:40</t>
        </is>
      </c>
      <c r="D11" s="5" t="n">
        <v>1</v>
      </c>
      <c r="E11" s="5" t="inlineStr">
        <is>
          <t>выезд 18:15</t>
        </is>
      </c>
      <c r="F11" s="5" t="n">
        <v>1</v>
      </c>
      <c r="G11" s="21" t="n">
        <v>4800</v>
      </c>
      <c r="H11" s="21">
        <f>G11*F11/D11</f>
        <v/>
      </c>
      <c r="I11" s="5" t="inlineStr">
        <is>
          <t>Или электричка + метро</t>
        </is>
      </c>
    </row>
    <row r="12">
      <c r="A12" s="5" t="inlineStr">
        <is>
          <t>31.10 → Домодедово</t>
        </is>
      </c>
      <c r="B12" s="5" t="inlineStr">
        <is>
          <t>О-4</t>
        </is>
      </c>
      <c r="C12" s="5" t="inlineStr">
        <is>
          <t>Иркутск (4 чел.) S7-3021 12:05 или U6-105 19:25; Чита U6-93 19:40; Ижевск S7-1165 15:10; Волгоград S7-2143 11:05</t>
        </is>
      </c>
      <c r="D12" s="5" t="n">
        <v>7</v>
      </c>
      <c r="E12" s="5" t="inlineStr">
        <is>
          <t>по времени рейсов</t>
        </is>
      </c>
      <c r="F12" s="5" t="n">
        <v>2</v>
      </c>
      <c r="G12" s="21" t="n">
        <v>3500</v>
      </c>
      <c r="H12" s="21">
        <f>G12*F12/D12</f>
        <v/>
      </c>
      <c r="I12" s="5" t="inlineStr">
        <is>
          <t>Иркутск + Чита вечером — одна машина</t>
        </is>
      </c>
    </row>
    <row r="13">
      <c r="A13" s="5" t="inlineStr">
        <is>
          <t>31.10 → Шереметьево</t>
        </is>
      </c>
      <c r="B13" s="5" t="inlineStr">
        <is>
          <t>О-5</t>
        </is>
      </c>
      <c r="C13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3" s="5" t="n">
        <v>4</v>
      </c>
      <c r="E13" s="5" t="inlineStr">
        <is>
          <t>выезд ~10:00</t>
        </is>
      </c>
      <c r="F13" s="5" t="n">
        <v>1</v>
      </c>
      <c r="G13" s="21" t="n">
        <v>5000</v>
      </c>
      <c r="H13" s="21">
        <f>G13*F13/D13</f>
        <v/>
      </c>
      <c r="I13" s="5" t="inlineStr">
        <is>
          <t>Утренняя группа</t>
        </is>
      </c>
    </row>
    <row r="14">
      <c r="A14" s="5" t="inlineStr">
        <is>
          <t>31.10 → Внуково</t>
        </is>
      </c>
      <c r="B14" s="5" t="inlineStr">
        <is>
          <t>О-6</t>
        </is>
      </c>
      <c r="C14" s="5" t="inlineStr">
        <is>
          <t>Ульяновск DP-485 19:35 (2 чел.); Саратов DP-475 17:55 (удобный)</t>
        </is>
      </c>
      <c r="D14" s="5" t="n">
        <v>2</v>
      </c>
      <c r="E14" s="5" t="inlineStr">
        <is>
          <t>выезд ~14:30</t>
        </is>
      </c>
      <c r="F14" s="5" t="n">
        <v>1</v>
      </c>
      <c r="G14" s="21" t="n">
        <v>4800</v>
      </c>
      <c r="H14" s="21">
        <f>G14*F14/D14</f>
        <v/>
      </c>
      <c r="I14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 — уточнить город и способ проезда.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2026-09-28T20:56:19Z</dcterms:created>
  <dcterms:modified xsi:type="dcterms:W3CDTF">2026-09-28T20:56:19Z</dcterms:modified>
</cp:coreProperties>
</file>