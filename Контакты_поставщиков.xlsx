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нтакты" sheetId="1" state="visible" r:id="rId1"/>
    <sheet name="Пробел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7D7"/>
          <bgColor rgb="00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ostavshiki" displayName="Postavshiki" ref="A3:L22" headerRowCount="1">
  <autoFilter ref="A3:L23"/>
  <tableColumns count="12">
    <tableColumn id="1" name="№"/>
    <tableColumn id="2" name="Бренд (ТМ)"/>
    <tableColumn id="3" name="Поставщик (юрлицо)"/>
    <tableColumn id="4" name="ФИО контакта"/>
    <tableColumn id="5" name="Должность"/>
    <tableColumn id="6" name="Рабочий телефон"/>
    <tableColumn id="7" name="Мобильный телефон"/>
    <tableColumn id="8" name="E-mail"/>
    <tableColumn id="9" name="Сайт / адрес / примечание"/>
    <tableColumn id="10" name="Наш ответственный менеджер"/>
    <tableColumn id="11" name="Дата актуализации"/>
    <tableColumn id="12" name="Статус контакт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8" customWidth="1" min="3" max="3"/>
    <col width="30" customWidth="1" min="4" max="4"/>
    <col width="34" customWidth="1" min="5" max="5"/>
    <col width="30" customWidth="1" min="6" max="6"/>
    <col width="30" customWidth="1" min="7" max="7"/>
    <col width="30" customWidth="1" min="8" max="8"/>
    <col width="40" customWidth="1" min="9" max="9"/>
    <col width="24" customWidth="1" min="10" max="10"/>
    <col width="16" customWidth="1" min="11" max="11"/>
    <col width="16" customWidth="1" min="12" max="12"/>
  </cols>
  <sheetData>
    <row r="1">
      <c r="A1" s="1" t="inlineStr">
        <is>
          <t>Контакты региональных представителей поставщиков</t>
        </is>
      </c>
    </row>
    <row r="2">
      <c r="A2" s="2" t="inlineStr">
        <is>
          <t>Новую строку добавляйте сразу под таблицей, она расширится сама. Розовым подсвечены пустые поля, которые нужно заполнить.</t>
        </is>
      </c>
    </row>
    <row r="3" ht="32" customHeight="1">
      <c r="A3" s="3" t="inlineStr">
        <is>
          <t>№</t>
        </is>
      </c>
      <c r="B3" s="3" t="inlineStr">
        <is>
          <t>Бренд (ТМ)</t>
        </is>
      </c>
      <c r="C3" s="3" t="inlineStr">
        <is>
          <t>Поставщик (юрлицо)</t>
        </is>
      </c>
      <c r="D3" s="3" t="inlineStr">
        <is>
          <t>ФИО контакта</t>
        </is>
      </c>
      <c r="E3" s="3" t="inlineStr">
        <is>
          <t>Должность</t>
        </is>
      </c>
      <c r="F3" s="3" t="inlineStr">
        <is>
          <t>Рабочий телефон</t>
        </is>
      </c>
      <c r="G3" s="3" t="inlineStr">
        <is>
          <t>Мобильный телефон</t>
        </is>
      </c>
      <c r="H3" s="3" t="inlineStr">
        <is>
          <t>E-mail</t>
        </is>
      </c>
      <c r="I3" s="3" t="inlineStr">
        <is>
          <t>Сайт / адрес / примечание</t>
        </is>
      </c>
      <c r="J3" s="3" t="inlineStr">
        <is>
          <t>Наш ответственный менеджер</t>
        </is>
      </c>
      <c r="K3" s="3" t="inlineStr">
        <is>
          <t>Дата актуализации</t>
        </is>
      </c>
      <c r="L3" s="3" t="inlineStr">
        <is>
          <t>Статус контакта</t>
        </is>
      </c>
    </row>
    <row r="4">
      <c r="A4" s="4" t="n">
        <v>1</v>
      </c>
      <c r="B4" s="4" t="inlineStr">
        <is>
          <t>Estares</t>
        </is>
      </c>
      <c r="C4" s="4" t="inlineStr">
        <is>
          <t>АЛМАК</t>
        </is>
      </c>
      <c r="D4" s="4" t="inlineStr">
        <is>
          <t>Зинченко Анастасия</t>
        </is>
      </c>
      <c r="E4" s="4" t="inlineStr">
        <is>
          <t>Специалист по работе с клиентами</t>
        </is>
      </c>
      <c r="F4" s="4" t="inlineStr">
        <is>
          <t>8 (495) 662-95-68, доб. 632</t>
        </is>
      </c>
      <c r="G4" s="4" t="n"/>
      <c r="H4" s="4" t="inlineStr">
        <is>
          <t>anastasiya@maysun.ru</t>
        </is>
      </c>
      <c r="I4" s="4" t="n"/>
      <c r="J4" s="4" t="n"/>
      <c r="K4" s="5" t="n"/>
      <c r="L4" s="4" t="inlineStr">
        <is>
          <t>Актуален</t>
        </is>
      </c>
    </row>
    <row r="5">
      <c r="A5" s="4" t="n">
        <v>2</v>
      </c>
      <c r="B5" s="4" t="inlineStr">
        <is>
          <t>JAZZWAY</t>
        </is>
      </c>
      <c r="C5" s="4" t="inlineStr">
        <is>
          <t>ВТЛ (Перспектива Групп)</t>
        </is>
      </c>
      <c r="D5" s="4" t="inlineStr">
        <is>
          <t>Климовская Анастасия</t>
        </is>
      </c>
      <c r="E5" s="4" t="n"/>
      <c r="F5" s="4" t="inlineStr">
        <is>
          <t>(812) 449-90-20, доб. 124</t>
        </is>
      </c>
      <c r="G5" s="4" t="inlineStr">
        <is>
          <t>8-911-136-26-63</t>
        </is>
      </c>
      <c r="H5" s="4" t="inlineStr">
        <is>
          <t>klimovskaya@pgptrade.ru</t>
        </is>
      </c>
      <c r="I5" s="4" t="n"/>
      <c r="J5" s="4" t="n"/>
      <c r="K5" s="5" t="n"/>
      <c r="L5" s="4" t="inlineStr">
        <is>
          <t>Актуален</t>
        </is>
      </c>
    </row>
    <row r="6">
      <c r="A6" s="4" t="n">
        <v>3</v>
      </c>
      <c r="B6" s="4" t="inlineStr">
        <is>
          <t>WOLTA</t>
        </is>
      </c>
      <c r="C6" s="4" t="inlineStr">
        <is>
          <t>ООО «Вольта»</t>
        </is>
      </c>
      <c r="D6" s="4" t="inlineStr">
        <is>
          <t>Чернова Дарья</t>
        </is>
      </c>
      <c r="E6" s="4" t="inlineStr">
        <is>
          <t>Менеджер по работе с клиентами</t>
        </is>
      </c>
      <c r="F6" s="4" t="inlineStr">
        <is>
          <t>+7 (495) 532-23-23, доб. 1231</t>
        </is>
      </c>
      <c r="G6" s="4" t="inlineStr">
        <is>
          <t>+7-925-064-81-77 (MAX)</t>
        </is>
      </c>
      <c r="H6" s="4" t="inlineStr">
        <is>
          <t>region1@wolta.ru</t>
        </is>
      </c>
      <c r="I6" s="4" t="inlineStr">
        <is>
          <t>Для документов: 127015, г. Москва, ул. Бутырская, д. 21, а/я 102</t>
        </is>
      </c>
      <c r="J6" s="4" t="n"/>
      <c r="K6" s="5" t="n"/>
      <c r="L6" s="4" t="inlineStr">
        <is>
          <t>Актуален</t>
        </is>
      </c>
    </row>
    <row r="7">
      <c r="A7" s="4" t="n">
        <v>4</v>
      </c>
      <c r="B7" s="4" t="inlineStr">
        <is>
          <t>СОНЕКС</t>
        </is>
      </c>
      <c r="C7" s="4" t="inlineStr">
        <is>
          <t>ООО «СОНЕКС»</t>
        </is>
      </c>
      <c r="D7" s="4" t="inlineStr">
        <is>
          <t>Лазарев Александр</t>
        </is>
      </c>
      <c r="E7" s="4" t="n"/>
      <c r="F7" s="4" t="inlineStr">
        <is>
          <t>+7 (495) 106-42-42, доб. 101</t>
        </is>
      </c>
      <c r="G7" s="4" t="inlineStr">
        <is>
          <t>+7 (985) 179-14-96</t>
        </is>
      </c>
      <c r="H7" s="4" t="inlineStr">
        <is>
          <t>lazarev@isonex.ru</t>
        </is>
      </c>
      <c r="I7" s="4" t="inlineStr">
        <is>
          <t>www.isonex.ru; для корреспонденции: 127644, Москва, а/я 96</t>
        </is>
      </c>
      <c r="J7" s="4" t="n"/>
      <c r="K7" s="5" t="n"/>
      <c r="L7" s="4" t="inlineStr">
        <is>
          <t>Актуален</t>
        </is>
      </c>
    </row>
    <row r="8">
      <c r="A8" s="4" t="n">
        <v>5</v>
      </c>
      <c r="B8" s="4" t="inlineStr">
        <is>
          <t>APEYRON / OGM</t>
        </is>
      </c>
      <c r="C8" s="4" t="inlineStr">
        <is>
          <t>АЛИОТ (APEYRON Electrics)</t>
        </is>
      </c>
      <c r="D8" s="4" t="inlineStr">
        <is>
          <t>Серебрякова Ольга</t>
        </is>
      </c>
      <c r="E8" s="4" t="inlineStr">
        <is>
          <t>Менеджер по работе с клиентами</t>
        </is>
      </c>
      <c r="F8" s="4" t="inlineStr">
        <is>
          <t>+7 (495) 162-85-55, доб. 133</t>
        </is>
      </c>
      <c r="G8" s="4" t="inlineStr">
        <is>
          <t>+7 (936) 004-00-53 (раб.)</t>
        </is>
      </c>
      <c r="H8" s="4" t="inlineStr">
        <is>
          <t>sfob@aeled.ru</t>
        </is>
      </c>
      <c r="I8" s="4" t="inlineStr">
        <is>
          <t>www.apeyronclock.ru; www.apeyronled.ru</t>
        </is>
      </c>
      <c r="J8" s="4" t="n"/>
      <c r="K8" s="5" t="n"/>
      <c r="L8" s="4" t="inlineStr">
        <is>
          <t>Актуален</t>
        </is>
      </c>
    </row>
    <row r="9">
      <c r="A9" s="4" t="n">
        <v>6</v>
      </c>
      <c r="B9" s="4" t="inlineStr">
        <is>
          <t>ARTELAMP</t>
        </is>
      </c>
      <c r="C9" s="4" t="inlineStr">
        <is>
          <t>ЯРУС</t>
        </is>
      </c>
      <c r="D9" s="4" t="inlineStr">
        <is>
          <t>Васильев Евгений Геннадьевич</t>
        </is>
      </c>
      <c r="E9" s="4" t="n"/>
      <c r="F9" s="4" t="inlineStr">
        <is>
          <t>8 (495) 771-73-83, доб. 113 (тел/факс)</t>
        </is>
      </c>
      <c r="G9" s="4" t="inlineStr">
        <is>
          <t>8-963-965-85-77; 8-902-268-51-47</t>
        </is>
      </c>
      <c r="H9" s="4" t="inlineStr">
        <is>
          <t>optekb@technolight.ru</t>
        </is>
      </c>
      <c r="I9" s="4" t="n"/>
      <c r="J9" s="4" t="n"/>
      <c r="K9" s="5" t="n"/>
      <c r="L9" s="4" t="inlineStr">
        <is>
          <t>Актуален</t>
        </is>
      </c>
    </row>
    <row r="10">
      <c r="A10" s="4" t="n">
        <v>7</v>
      </c>
      <c r="B10" s="4" t="inlineStr">
        <is>
          <t>ЭРА</t>
        </is>
      </c>
      <c r="C10" s="4" t="inlineStr">
        <is>
          <t>ОРИОН</t>
        </is>
      </c>
      <c r="D10" s="4" t="inlineStr">
        <is>
          <t>Сафронова Марина</t>
        </is>
      </c>
      <c r="E10" s="4" t="inlineStr">
        <is>
          <t>Отдел по работе с ключевыми клиентами НСС</t>
        </is>
      </c>
      <c r="F10" s="4" t="n"/>
      <c r="G10" s="4" t="n"/>
      <c r="H10" s="4" t="inlineStr">
        <is>
          <t>safronova_m@s3.ru</t>
        </is>
      </c>
      <c r="I10" s="4" t="inlineStr">
        <is>
          <t>www.S3.ru</t>
        </is>
      </c>
      <c r="J10" s="4" t="n"/>
      <c r="K10" s="5" t="n"/>
      <c r="L10" s="4" t="inlineStr">
        <is>
          <t>Актуален</t>
        </is>
      </c>
    </row>
    <row r="11">
      <c r="A11" s="4" t="n">
        <v>8</v>
      </c>
      <c r="B11" s="4" t="inlineStr">
        <is>
          <t>IEK</t>
        </is>
      </c>
      <c r="C11" s="4" t="inlineStr">
        <is>
          <t>ИЭК</t>
        </is>
      </c>
      <c r="D11" s="4" t="inlineStr">
        <is>
          <t>Куксгаузен Александр</t>
        </is>
      </c>
      <c r="E11" s="4" t="inlineStr">
        <is>
          <t>Менеджер по развитию региональных продаж УФО, дивизион «Светотехника»</t>
        </is>
      </c>
      <c r="F11" s="4" t="n"/>
      <c r="G11" s="4" t="inlineStr">
        <is>
          <t>+7 (961) 772-51-91</t>
        </is>
      </c>
      <c r="H11" s="4" t="inlineStr">
        <is>
          <t>Kuksgauzenap@iek.ru</t>
        </is>
      </c>
      <c r="I11" s="4" t="n"/>
      <c r="J11" s="4" t="n"/>
      <c r="K11" s="5" t="n"/>
      <c r="L11" s="4" t="inlineStr">
        <is>
          <t>Актуален</t>
        </is>
      </c>
    </row>
    <row r="12">
      <c r="A12" s="4" t="n">
        <v>9</v>
      </c>
      <c r="B12" s="4" t="inlineStr">
        <is>
          <t>INHOME</t>
        </is>
      </c>
      <c r="C12" s="4" t="inlineStr">
        <is>
          <t>ИН ХОУМ</t>
        </is>
      </c>
      <c r="D12" s="4" t="inlineStr">
        <is>
          <t>Веселова Екатерина Витальевна</t>
        </is>
      </c>
      <c r="E12" s="4" t="inlineStr">
        <is>
          <t>Менеджер по работе с ключевыми клиентами</t>
        </is>
      </c>
      <c r="F12" s="4" t="inlineStr">
        <is>
          <t>+7 (495) 748-99-77, внутр. 2242</t>
        </is>
      </c>
      <c r="G12" s="4" t="inlineStr">
        <is>
          <t>+7-925-125-33-64</t>
        </is>
      </c>
      <c r="H12" s="4" t="inlineStr">
        <is>
          <t>VeselovaEV@in-home.ru</t>
        </is>
      </c>
      <c r="I12" s="4" t="n"/>
      <c r="J12" s="4" t="n"/>
      <c r="K12" s="5" t="n"/>
      <c r="L12" s="4" t="inlineStr">
        <is>
          <t>Актуален</t>
        </is>
      </c>
    </row>
    <row r="13">
      <c r="A13" s="4" t="n">
        <v>10</v>
      </c>
      <c r="B13" s="4" t="inlineStr">
        <is>
          <t>LEEK</t>
        </is>
      </c>
      <c r="C13" s="4" t="inlineStr">
        <is>
          <t>Энергокомплект</t>
        </is>
      </c>
      <c r="D13" s="4" t="inlineStr">
        <is>
          <t>Галутина Мария Дмитриевна</t>
        </is>
      </c>
      <c r="E13" s="4" t="n"/>
      <c r="F13" s="4" t="inlineStr">
        <is>
          <t>8 (495) 109-18-19, доб. 349</t>
        </is>
      </c>
      <c r="G13" s="4" t="n"/>
      <c r="H13" s="4" t="inlineStr">
        <is>
          <t>galutina@leek-lamp.ru</t>
        </is>
      </c>
      <c r="I13" s="4" t="inlineStr">
        <is>
          <t>www.leek-lamp.ru</t>
        </is>
      </c>
      <c r="J13" s="4" t="n"/>
      <c r="K13" s="5" t="n"/>
      <c r="L13" s="4" t="inlineStr">
        <is>
          <t>Актуален</t>
        </is>
      </c>
    </row>
    <row r="14">
      <c r="A14" s="4" t="n">
        <v>11</v>
      </c>
      <c r="B14" s="4" t="inlineStr">
        <is>
          <t>SWG</t>
        </is>
      </c>
      <c r="C14" s="4" t="inlineStr">
        <is>
          <t>Светлый город</t>
        </is>
      </c>
      <c r="D14" s="4" t="inlineStr">
        <is>
          <t>Кузнецов Александр</t>
        </is>
      </c>
      <c r="E14" s="4" t="inlineStr">
        <is>
          <t>Руководитель отдела по работе с дистрибьюторами</t>
        </is>
      </c>
      <c r="F14" s="4" t="inlineStr">
        <is>
          <t>+7 (499) 113-49-61, доб. 203</t>
        </is>
      </c>
      <c r="G14" s="4" t="inlineStr">
        <is>
          <t>+7 (925) 927-65-15</t>
        </is>
      </c>
      <c r="H14" s="4" t="inlineStr">
        <is>
          <t>kuznetsov@sw-g.ru</t>
        </is>
      </c>
      <c r="I14" s="4" t="n"/>
      <c r="J14" s="4" t="n"/>
      <c r="K14" s="5" t="n"/>
      <c r="L14" s="4" t="inlineStr">
        <is>
          <t>Актуален</t>
        </is>
      </c>
    </row>
    <row r="15">
      <c r="A15" s="4" t="n">
        <v>12</v>
      </c>
      <c r="B15" s="4" t="inlineStr">
        <is>
          <t>I-WATT</t>
        </is>
      </c>
      <c r="C15" s="4" t="inlineStr">
        <is>
          <t>ООО «АЙ-ВАТТ»</t>
        </is>
      </c>
      <c r="D15" s="4" t="inlineStr">
        <is>
          <t>Плетнёв Александр Станиславович</t>
        </is>
      </c>
      <c r="E15" s="4" t="inlineStr">
        <is>
          <t>Руководитель направления по развитию дистрибуции</t>
        </is>
      </c>
      <c r="F15" s="4" t="inlineStr">
        <is>
          <t>+7 (495) 145-83-26</t>
        </is>
      </c>
      <c r="G15" s="4" t="inlineStr">
        <is>
          <t>8 (906) 045-86-47 (WhatsApp)</t>
        </is>
      </c>
      <c r="H15" s="4" t="inlineStr">
        <is>
          <t>iwatt_rop@mail.ru</t>
        </is>
      </c>
      <c r="I15" s="4" t="inlineStr">
        <is>
          <t>г. Москва. В исходнике моб. указан как «+8(906)…» — уточнить</t>
        </is>
      </c>
      <c r="J15" s="4" t="n"/>
      <c r="K15" s="5" t="n"/>
      <c r="L15" s="4" t="inlineStr">
        <is>
          <t>Нужно уточнить</t>
        </is>
      </c>
    </row>
    <row r="16">
      <c r="A16" s="4" t="n">
        <v>13</v>
      </c>
      <c r="B16" s="4" t="inlineStr">
        <is>
          <t>CAMELION / ULTRAFLASH</t>
        </is>
      </c>
      <c r="C16" s="4" t="inlineStr">
        <is>
          <t>АО «ЭСТ» (Энергосистемы и технологии), Смирнов Бэттериз</t>
        </is>
      </c>
      <c r="D16" s="4" t="inlineStr">
        <is>
          <t>Султанов Рустем</t>
        </is>
      </c>
      <c r="E16" s="4" t="inlineStr">
        <is>
          <t>Менеджер по работе с ключевым клиентом</t>
        </is>
      </c>
      <c r="F16" s="4" t="n"/>
      <c r="G16" s="4" t="inlineStr">
        <is>
          <t>+7 (917) 788-11-11</t>
        </is>
      </c>
      <c r="H16" s="4" t="n"/>
      <c r="I16" s="4" t="inlineStr">
        <is>
          <t>E-mail не указан</t>
        </is>
      </c>
      <c r="J16" s="4" t="n"/>
      <c r="K16" s="5" t="n"/>
      <c r="L16" s="4" t="inlineStr">
        <is>
          <t>Актуален</t>
        </is>
      </c>
    </row>
    <row r="17">
      <c r="A17" s="4" t="n">
        <v>14</v>
      </c>
      <c r="B17" s="4" t="inlineStr">
        <is>
          <t>UNIEL / VOLPE</t>
        </is>
      </c>
      <c r="C17" s="4" t="inlineStr">
        <is>
          <t>ИП Лизогуб</t>
        </is>
      </c>
      <c r="D17" s="4" t="inlineStr">
        <is>
          <t>Позднякова Ирина</t>
        </is>
      </c>
      <c r="E17" s="4" t="inlineStr">
        <is>
          <t>Менеджер по работе с VIP-клиентами ТМ UNIEL</t>
        </is>
      </c>
      <c r="F17" s="4" t="n"/>
      <c r="G17" s="4" t="inlineStr">
        <is>
          <t>+7 (977) 250-44-06</t>
        </is>
      </c>
      <c r="H17" s="4" t="inlineStr">
        <is>
          <t>pozdniakova@uniel.ru</t>
        </is>
      </c>
      <c r="I17" s="4" t="n"/>
      <c r="J17" s="4" t="n"/>
      <c r="K17" s="5" t="n"/>
      <c r="L17" s="4" t="inlineStr">
        <is>
          <t>Актуален</t>
        </is>
      </c>
    </row>
    <row r="18">
      <c r="A18" s="4" t="n">
        <v>15</v>
      </c>
      <c r="B18" s="4" t="inlineStr">
        <is>
          <t>NAVIGATOR / ОНЛАЙТ</t>
        </is>
      </c>
      <c r="C18" s="4" t="inlineStr">
        <is>
          <t>БТД</t>
        </is>
      </c>
      <c r="D18" s="4" t="inlineStr">
        <is>
          <t>Воробьева Анна</t>
        </is>
      </c>
      <c r="E18" s="4" t="inlineStr">
        <is>
          <t>Менеджер по сопровождению продаж</t>
        </is>
      </c>
      <c r="F18" s="4" t="inlineStr">
        <is>
          <t>+7 (499) 683-01-48, доб. 113</t>
        </is>
      </c>
      <c r="G18" s="4" t="inlineStr">
        <is>
          <t>8-985-904-44-49</t>
        </is>
      </c>
      <c r="H18" s="4" t="inlineStr">
        <is>
          <t>vorobjeva@navigatorgroup.ru</t>
        </is>
      </c>
      <c r="I18" s="4" t="n"/>
      <c r="J18" s="4" t="n"/>
      <c r="K18" s="5" t="n"/>
      <c r="L18" s="4" t="inlineStr">
        <is>
          <t>Актуален</t>
        </is>
      </c>
    </row>
    <row r="19">
      <c r="A19" s="4" t="n">
        <v>16</v>
      </c>
      <c r="B19" s="4" t="inlineStr">
        <is>
          <t>GENERAL / HITT</t>
        </is>
      </c>
      <c r="C19" s="4" t="inlineStr">
        <is>
          <t>СОНЭС логистик</t>
        </is>
      </c>
      <c r="D19" s="4" t="inlineStr">
        <is>
          <t>Ротару Ольга</t>
        </is>
      </c>
      <c r="E19" s="4" t="inlineStr">
        <is>
          <t>Менеджер по работе с клиентами</t>
        </is>
      </c>
      <c r="F19" s="4" t="inlineStr">
        <is>
          <t>+7 (495) 727-32-21, доб. 4050</t>
        </is>
      </c>
      <c r="G19" s="4" t="inlineStr">
        <is>
          <t>+7 (968) 885-37-92</t>
        </is>
      </c>
      <c r="H19" s="4" t="inlineStr">
        <is>
          <t>ori@sones.ru</t>
        </is>
      </c>
      <c r="I19" s="4" t="n"/>
      <c r="J19" s="4" t="n"/>
      <c r="K19" s="5" t="n"/>
      <c r="L19" s="4" t="inlineStr">
        <is>
          <t>Актуален</t>
        </is>
      </c>
    </row>
    <row r="20">
      <c r="A20" s="4" t="n">
        <v>17</v>
      </c>
      <c r="B20" s="4" t="inlineStr">
        <is>
          <t>КОСМОС</t>
        </is>
      </c>
      <c r="C20" s="4" t="inlineStr">
        <is>
          <t>Космос</t>
        </is>
      </c>
      <c r="D20" s="4" t="inlineStr">
        <is>
          <t>Хабибуллин Радик</t>
        </is>
      </c>
      <c r="E20" s="4" t="inlineStr">
        <is>
          <t>Ведущий менеджер по развитию</t>
        </is>
      </c>
      <c r="F20" s="4" t="n"/>
      <c r="G20" s="4" t="inlineStr">
        <is>
          <t>+7 (987) 290-60-06</t>
        </is>
      </c>
      <c r="H20" s="4" t="inlineStr">
        <is>
          <t>Habibullin@kosmos.ru</t>
        </is>
      </c>
      <c r="I20" s="4" t="n"/>
      <c r="J20" s="4" t="n"/>
      <c r="K20" s="5" t="n"/>
      <c r="L20" s="4" t="inlineStr">
        <is>
          <t>Актуален</t>
        </is>
      </c>
    </row>
    <row r="21">
      <c r="A21" s="4" t="n">
        <v>18</v>
      </c>
      <c r="B21" s="4" t="inlineStr">
        <is>
          <t>AMBRELLA</t>
        </is>
      </c>
      <c r="C21" s="4" t="inlineStr">
        <is>
          <t>БЕСТ ЛАЙТ</t>
        </is>
      </c>
      <c r="D21" s="4" t="inlineStr">
        <is>
          <t>Вольнов Кирилл</t>
        </is>
      </c>
      <c r="E21" s="4" t="inlineStr">
        <is>
          <t>Менеджер по развитию продаж Ambrella Light</t>
        </is>
      </c>
      <c r="F21" s="4" t="inlineStr">
        <is>
          <t>+7 (495) 150-03-05, доб. 138</t>
        </is>
      </c>
      <c r="G21" s="4" t="inlineStr">
        <is>
          <t>+7 (925) 602-64-24 (WhatsApp, Telegram, MAX)</t>
        </is>
      </c>
      <c r="H21" s="4" t="n"/>
      <c r="I21" s="4" t="inlineStr">
        <is>
          <t>www.ambrella.biz</t>
        </is>
      </c>
      <c r="J21" s="4" t="n"/>
      <c r="K21" s="5" t="n"/>
      <c r="L21" s="4" t="inlineStr">
        <is>
          <t>Актуален</t>
        </is>
      </c>
    </row>
    <row r="22">
      <c r="A22" s="4" t="n">
        <v>19</v>
      </c>
      <c r="B22" s="4" t="inlineStr">
        <is>
          <t>ABERLIHT</t>
        </is>
      </c>
      <c r="C22" s="4" t="n"/>
      <c r="D22" s="4" t="inlineStr">
        <is>
          <t>Терёхина Ирина Юрьевна</t>
        </is>
      </c>
      <c r="E22" s="4" t="n"/>
      <c r="F22" s="4" t="inlineStr">
        <is>
          <t>8 (343) 300-31-04 (многоканальный)</t>
        </is>
      </c>
      <c r="G22" s="4" t="inlineStr">
        <is>
          <t>8 (982) 649-53-97 (MAX)</t>
        </is>
      </c>
      <c r="H22" s="4" t="n"/>
      <c r="I22" s="4" t="inlineStr">
        <is>
          <t>Офис: г. Екатеринбург, ул. Большакова, 99а. Юрлицо не указано</t>
        </is>
      </c>
      <c r="J22" s="4" t="n"/>
      <c r="K22" s="5" t="n"/>
      <c r="L22" s="4" t="inlineStr">
        <is>
          <t>Актуален</t>
        </is>
      </c>
    </row>
    <row r="23">
      <c r="K23" s="6" t="n"/>
    </row>
    <row r="24">
      <c r="K24" s="6" t="n"/>
    </row>
    <row r="25">
      <c r="K25" s="6" t="n"/>
    </row>
    <row r="26">
      <c r="K26" s="6" t="n"/>
    </row>
    <row r="27">
      <c r="K27" s="6" t="n"/>
    </row>
    <row r="28">
      <c r="K28" s="6" t="n"/>
    </row>
    <row r="29">
      <c r="K29" s="6" t="n"/>
    </row>
    <row r="30">
      <c r="K30" s="6" t="n"/>
    </row>
    <row r="31">
      <c r="K31" s="6" t="n"/>
    </row>
    <row r="32">
      <c r="K32" s="6" t="n"/>
    </row>
    <row r="33">
      <c r="K33" s="6" t="n"/>
    </row>
    <row r="34">
      <c r="K34" s="6" t="n"/>
    </row>
    <row r="35">
      <c r="K35" s="6" t="n"/>
    </row>
    <row r="36">
      <c r="K36" s="6" t="n"/>
    </row>
    <row r="37">
      <c r="K37" s="6" t="n"/>
    </row>
    <row r="38">
      <c r="K38" s="6" t="n"/>
    </row>
    <row r="39">
      <c r="K39" s="6" t="n"/>
    </row>
    <row r="40">
      <c r="K40" s="6" t="n"/>
    </row>
    <row r="41">
      <c r="K41" s="6" t="n"/>
    </row>
    <row r="42">
      <c r="K42" s="6" t="n"/>
    </row>
    <row r="43">
      <c r="K43" s="6" t="n"/>
    </row>
    <row r="44">
      <c r="K44" s="6" t="n"/>
    </row>
    <row r="45">
      <c r="K45" s="6" t="n"/>
    </row>
    <row r="46">
      <c r="K46" s="6" t="n"/>
    </row>
    <row r="47">
      <c r="K47" s="6" t="n"/>
    </row>
    <row r="48">
      <c r="K48" s="6" t="n"/>
    </row>
    <row r="49">
      <c r="K49" s="6" t="n"/>
    </row>
    <row r="50">
      <c r="K50" s="6" t="n"/>
    </row>
    <row r="51">
      <c r="K51" s="6" t="n"/>
    </row>
    <row r="52">
      <c r="K52" s="6" t="n"/>
    </row>
    <row r="53">
      <c r="K53" s="6" t="n"/>
    </row>
    <row r="54">
      <c r="K54" s="6" t="n"/>
    </row>
    <row r="55">
      <c r="K55" s="6" t="n"/>
    </row>
    <row r="56">
      <c r="K56" s="6" t="n"/>
    </row>
    <row r="57">
      <c r="K57" s="6" t="n"/>
    </row>
    <row r="58">
      <c r="K58" s="6" t="n"/>
    </row>
    <row r="59">
      <c r="K59" s="6" t="n"/>
    </row>
    <row r="60">
      <c r="K60" s="6" t="n"/>
    </row>
    <row r="61">
      <c r="K61" s="6" t="n"/>
    </row>
    <row r="62">
      <c r="K62" s="6" t="n"/>
    </row>
    <row r="63">
      <c r="K63" s="6" t="n"/>
    </row>
    <row r="64">
      <c r="K64" s="6" t="n"/>
    </row>
    <row r="65">
      <c r="K65" s="6" t="n"/>
    </row>
    <row r="66">
      <c r="K66" s="6" t="n"/>
    </row>
    <row r="67">
      <c r="K67" s="6" t="n"/>
    </row>
    <row r="68">
      <c r="K68" s="6" t="n"/>
    </row>
    <row r="69">
      <c r="K69" s="6" t="n"/>
    </row>
    <row r="70">
      <c r="K70" s="6" t="n"/>
    </row>
    <row r="71">
      <c r="K71" s="6" t="n"/>
    </row>
    <row r="72">
      <c r="K72" s="6" t="n"/>
    </row>
    <row r="73">
      <c r="K73" s="6" t="n"/>
    </row>
    <row r="74">
      <c r="K74" s="6" t="n"/>
    </row>
    <row r="75">
      <c r="K75" s="6" t="n"/>
    </row>
    <row r="76">
      <c r="K76" s="6" t="n"/>
    </row>
    <row r="77">
      <c r="K77" s="6" t="n"/>
    </row>
    <row r="78">
      <c r="K78" s="6" t="n"/>
    </row>
    <row r="79">
      <c r="K79" s="6" t="n"/>
    </row>
    <row r="80">
      <c r="K80" s="6" t="n"/>
    </row>
    <row r="81">
      <c r="K81" s="6" t="n"/>
    </row>
    <row r="82">
      <c r="K82" s="6" t="n"/>
    </row>
    <row r="83">
      <c r="K83" s="6" t="n"/>
    </row>
    <row r="84">
      <c r="K84" s="6" t="n"/>
    </row>
    <row r="85">
      <c r="K85" s="6" t="n"/>
    </row>
    <row r="86">
      <c r="K86" s="6" t="n"/>
    </row>
    <row r="87">
      <c r="K87" s="6" t="n"/>
    </row>
    <row r="88">
      <c r="K88" s="6" t="n"/>
    </row>
    <row r="89">
      <c r="K89" s="6" t="n"/>
    </row>
    <row r="90">
      <c r="K90" s="6" t="n"/>
    </row>
    <row r="91">
      <c r="K91" s="6" t="n"/>
    </row>
    <row r="92">
      <c r="K92" s="6" t="n"/>
    </row>
    <row r="93">
      <c r="K93" s="6" t="n"/>
    </row>
    <row r="94">
      <c r="K94" s="6" t="n"/>
    </row>
    <row r="95">
      <c r="K95" s="6" t="n"/>
    </row>
    <row r="96">
      <c r="K96" s="6" t="n"/>
    </row>
    <row r="97">
      <c r="K97" s="6" t="n"/>
    </row>
    <row r="98">
      <c r="K98" s="6" t="n"/>
    </row>
    <row r="99">
      <c r="K99" s="6" t="n"/>
    </row>
    <row r="100">
      <c r="K100" s="6" t="n"/>
    </row>
    <row r="101">
      <c r="K101" s="6" t="n"/>
    </row>
    <row r="102">
      <c r="K102" s="6" t="n"/>
    </row>
    <row r="103">
      <c r="K103" s="6" t="n"/>
    </row>
    <row r="104">
      <c r="K104" s="6" t="n"/>
    </row>
    <row r="105">
      <c r="K105" s="6" t="n"/>
    </row>
    <row r="106">
      <c r="K106" s="6" t="n"/>
    </row>
    <row r="107">
      <c r="K107" s="6" t="n"/>
    </row>
    <row r="108">
      <c r="K108" s="6" t="n"/>
    </row>
    <row r="109">
      <c r="K109" s="6" t="n"/>
    </row>
    <row r="110">
      <c r="K110" s="6" t="n"/>
    </row>
    <row r="111">
      <c r="K111" s="6" t="n"/>
    </row>
    <row r="112">
      <c r="K112" s="6" t="n"/>
    </row>
    <row r="113">
      <c r="K113" s="6" t="n"/>
    </row>
    <row r="114">
      <c r="K114" s="6" t="n"/>
    </row>
    <row r="115">
      <c r="K115" s="6" t="n"/>
    </row>
    <row r="116">
      <c r="K116" s="6" t="n"/>
    </row>
    <row r="117">
      <c r="K117" s="6" t="n"/>
    </row>
    <row r="118">
      <c r="K118" s="6" t="n"/>
    </row>
    <row r="119">
      <c r="K119" s="6" t="n"/>
    </row>
    <row r="120">
      <c r="K120" s="6" t="n"/>
    </row>
    <row r="121">
      <c r="K121" s="6" t="n"/>
    </row>
    <row r="122">
      <c r="K122" s="6" t="n"/>
    </row>
    <row r="123">
      <c r="K123" s="6" t="n"/>
    </row>
    <row r="124">
      <c r="K124" s="6" t="n"/>
    </row>
    <row r="125">
      <c r="K125" s="6" t="n"/>
    </row>
    <row r="126">
      <c r="K126" s="6" t="n"/>
    </row>
    <row r="127">
      <c r="K127" s="6" t="n"/>
    </row>
    <row r="128">
      <c r="K128" s="6" t="n"/>
    </row>
    <row r="129">
      <c r="K129" s="6" t="n"/>
    </row>
    <row r="130">
      <c r="K130" s="6" t="n"/>
    </row>
    <row r="131">
      <c r="K131" s="6" t="n"/>
    </row>
    <row r="132">
      <c r="K132" s="6" t="n"/>
    </row>
    <row r="133">
      <c r="K133" s="6" t="n"/>
    </row>
    <row r="134">
      <c r="K134" s="6" t="n"/>
    </row>
    <row r="135">
      <c r="K135" s="6" t="n"/>
    </row>
    <row r="136">
      <c r="K136" s="6" t="n"/>
    </row>
    <row r="137">
      <c r="K137" s="6" t="n"/>
    </row>
    <row r="138">
      <c r="K138" s="6" t="n"/>
    </row>
    <row r="139">
      <c r="K139" s="6" t="n"/>
    </row>
    <row r="140">
      <c r="K140" s="6" t="n"/>
    </row>
    <row r="141">
      <c r="K141" s="6" t="n"/>
    </row>
    <row r="142">
      <c r="K142" s="6" t="n"/>
    </row>
    <row r="143">
      <c r="K143" s="6" t="n"/>
    </row>
    <row r="144">
      <c r="K144" s="6" t="n"/>
    </row>
    <row r="145">
      <c r="K145" s="6" t="n"/>
    </row>
    <row r="146">
      <c r="K146" s="6" t="n"/>
    </row>
    <row r="147">
      <c r="K147" s="6" t="n"/>
    </row>
    <row r="148">
      <c r="K148" s="6" t="n"/>
    </row>
    <row r="149">
      <c r="K149" s="6" t="n"/>
    </row>
    <row r="150">
      <c r="K150" s="6" t="n"/>
    </row>
    <row r="151">
      <c r="K151" s="6" t="n"/>
    </row>
    <row r="152">
      <c r="K152" s="6" t="n"/>
    </row>
    <row r="153">
      <c r="K153" s="6" t="n"/>
    </row>
    <row r="154">
      <c r="K154" s="6" t="n"/>
    </row>
    <row r="155">
      <c r="K155" s="6" t="n"/>
    </row>
    <row r="156">
      <c r="K156" s="6" t="n"/>
    </row>
    <row r="157">
      <c r="K157" s="6" t="n"/>
    </row>
    <row r="158">
      <c r="K158" s="6" t="n"/>
    </row>
    <row r="159">
      <c r="K159" s="6" t="n"/>
    </row>
    <row r="160">
      <c r="K160" s="6" t="n"/>
    </row>
    <row r="161">
      <c r="K161" s="6" t="n"/>
    </row>
    <row r="162">
      <c r="K162" s="6" t="n"/>
    </row>
    <row r="163">
      <c r="K163" s="6" t="n"/>
    </row>
    <row r="164">
      <c r="K164" s="6" t="n"/>
    </row>
    <row r="165">
      <c r="K165" s="6" t="n"/>
    </row>
    <row r="166">
      <c r="K166" s="6" t="n"/>
    </row>
    <row r="167">
      <c r="K167" s="6" t="n"/>
    </row>
    <row r="168">
      <c r="K168" s="6" t="n"/>
    </row>
    <row r="169">
      <c r="K169" s="6" t="n"/>
    </row>
    <row r="170">
      <c r="K170" s="6" t="n"/>
    </row>
    <row r="171">
      <c r="K171" s="6" t="n"/>
    </row>
    <row r="172">
      <c r="K172" s="6" t="n"/>
    </row>
    <row r="173">
      <c r="K173" s="6" t="n"/>
    </row>
    <row r="174">
      <c r="K174" s="6" t="n"/>
    </row>
    <row r="175">
      <c r="K175" s="6" t="n"/>
    </row>
    <row r="176">
      <c r="K176" s="6" t="n"/>
    </row>
    <row r="177">
      <c r="K177" s="6" t="n"/>
    </row>
    <row r="178">
      <c r="K178" s="6" t="n"/>
    </row>
    <row r="179">
      <c r="K179" s="6" t="n"/>
    </row>
    <row r="180">
      <c r="K180" s="6" t="n"/>
    </row>
    <row r="181">
      <c r="K181" s="6" t="n"/>
    </row>
    <row r="182">
      <c r="K182" s="6" t="n"/>
    </row>
    <row r="183">
      <c r="K183" s="6" t="n"/>
    </row>
    <row r="184">
      <c r="K184" s="6" t="n"/>
    </row>
    <row r="185">
      <c r="K185" s="6" t="n"/>
    </row>
    <row r="186">
      <c r="K186" s="6" t="n"/>
    </row>
    <row r="187">
      <c r="K187" s="6" t="n"/>
    </row>
    <row r="188">
      <c r="K188" s="6" t="n"/>
    </row>
    <row r="189">
      <c r="K189" s="6" t="n"/>
    </row>
    <row r="190">
      <c r="K190" s="6" t="n"/>
    </row>
    <row r="191">
      <c r="K191" s="6" t="n"/>
    </row>
    <row r="192">
      <c r="K192" s="6" t="n"/>
    </row>
    <row r="193">
      <c r="K193" s="6" t="n"/>
    </row>
    <row r="194">
      <c r="K194" s="6" t="n"/>
    </row>
    <row r="195">
      <c r="K195" s="6" t="n"/>
    </row>
    <row r="196">
      <c r="K196" s="6" t="n"/>
    </row>
    <row r="197">
      <c r="K197" s="6" t="n"/>
    </row>
    <row r="198">
      <c r="K198" s="6" t="n"/>
    </row>
    <row r="199">
      <c r="K199" s="6" t="n"/>
    </row>
    <row r="200">
      <c r="K200" s="6" t="n"/>
    </row>
    <row r="201">
      <c r="K201" s="6" t="n"/>
    </row>
    <row r="202">
      <c r="K202" s="6" t="n"/>
    </row>
    <row r="203">
      <c r="K203" s="6" t="n"/>
    </row>
    <row r="204">
      <c r="K204" s="6" t="n"/>
    </row>
    <row r="205">
      <c r="K205" s="6" t="n"/>
    </row>
    <row r="206">
      <c r="K206" s="6" t="n"/>
    </row>
    <row r="207">
      <c r="K207" s="6" t="n"/>
    </row>
    <row r="208">
      <c r="K208" s="6" t="n"/>
    </row>
    <row r="209">
      <c r="K209" s="6" t="n"/>
    </row>
    <row r="210">
      <c r="K210" s="6" t="n"/>
    </row>
    <row r="211">
      <c r="K211" s="6" t="n"/>
    </row>
    <row r="212">
      <c r="K212" s="6" t="n"/>
    </row>
    <row r="213">
      <c r="K213" s="6" t="n"/>
    </row>
    <row r="214">
      <c r="K214" s="6" t="n"/>
    </row>
    <row r="215">
      <c r="K215" s="6" t="n"/>
    </row>
    <row r="216">
      <c r="K216" s="6" t="n"/>
    </row>
    <row r="217">
      <c r="K217" s="6" t="n"/>
    </row>
    <row r="218">
      <c r="K218" s="6" t="n"/>
    </row>
    <row r="219">
      <c r="K219" s="6" t="n"/>
    </row>
    <row r="220">
      <c r="K220" s="6" t="n"/>
    </row>
    <row r="221">
      <c r="K221" s="6" t="n"/>
    </row>
    <row r="222">
      <c r="K222" s="6" t="n"/>
    </row>
    <row r="223">
      <c r="K223" s="6" t="n"/>
    </row>
    <row r="224">
      <c r="K224" s="6" t="n"/>
    </row>
    <row r="225">
      <c r="K225" s="6" t="n"/>
    </row>
    <row r="226">
      <c r="K226" s="6" t="n"/>
    </row>
    <row r="227">
      <c r="K227" s="6" t="n"/>
    </row>
    <row r="228">
      <c r="K228" s="6" t="n"/>
    </row>
    <row r="229">
      <c r="K229" s="6" t="n"/>
    </row>
    <row r="230">
      <c r="K230" s="6" t="n"/>
    </row>
    <row r="231">
      <c r="K231" s="6" t="n"/>
    </row>
    <row r="232">
      <c r="K232" s="6" t="n"/>
    </row>
    <row r="233">
      <c r="K233" s="6" t="n"/>
    </row>
    <row r="234">
      <c r="K234" s="6" t="n"/>
    </row>
    <row r="235">
      <c r="K235" s="6" t="n"/>
    </row>
    <row r="236">
      <c r="K236" s="6" t="n"/>
    </row>
    <row r="237">
      <c r="K237" s="6" t="n"/>
    </row>
    <row r="238">
      <c r="K238" s="6" t="n"/>
    </row>
    <row r="239">
      <c r="K239" s="6" t="n"/>
    </row>
    <row r="240">
      <c r="K240" s="6" t="n"/>
    </row>
    <row r="241">
      <c r="K241" s="6" t="n"/>
    </row>
    <row r="242">
      <c r="K242" s="6" t="n"/>
    </row>
    <row r="243">
      <c r="K243" s="6" t="n"/>
    </row>
    <row r="244">
      <c r="K244" s="6" t="n"/>
    </row>
    <row r="245">
      <c r="K245" s="6" t="n"/>
    </row>
    <row r="246">
      <c r="K246" s="6" t="n"/>
    </row>
    <row r="247">
      <c r="K247" s="6" t="n"/>
    </row>
    <row r="248">
      <c r="K248" s="6" t="n"/>
    </row>
    <row r="249">
      <c r="K249" s="6" t="n"/>
    </row>
    <row r="250">
      <c r="K250" s="6" t="n"/>
    </row>
    <row r="251">
      <c r="K251" s="6" t="n"/>
    </row>
    <row r="252">
      <c r="K252" s="6" t="n"/>
    </row>
    <row r="253">
      <c r="K253" s="6" t="n"/>
    </row>
    <row r="254">
      <c r="K254" s="6" t="n"/>
    </row>
    <row r="255">
      <c r="K255" s="6" t="n"/>
    </row>
    <row r="256">
      <c r="K256" s="6" t="n"/>
    </row>
    <row r="257">
      <c r="K257" s="6" t="n"/>
    </row>
    <row r="258">
      <c r="K258" s="6" t="n"/>
    </row>
    <row r="259">
      <c r="K259" s="6" t="n"/>
    </row>
    <row r="260">
      <c r="K260" s="6" t="n"/>
    </row>
    <row r="261">
      <c r="K261" s="6" t="n"/>
    </row>
    <row r="262">
      <c r="K262" s="6" t="n"/>
    </row>
    <row r="263">
      <c r="K263" s="6" t="n"/>
    </row>
    <row r="264">
      <c r="K264" s="6" t="n"/>
    </row>
    <row r="265">
      <c r="K265" s="6" t="n"/>
    </row>
    <row r="266">
      <c r="K266" s="6" t="n"/>
    </row>
    <row r="267">
      <c r="K267" s="6" t="n"/>
    </row>
    <row r="268">
      <c r="K268" s="6" t="n"/>
    </row>
    <row r="269">
      <c r="K269" s="6" t="n"/>
    </row>
    <row r="270">
      <c r="K270" s="6" t="n"/>
    </row>
    <row r="271">
      <c r="K271" s="6" t="n"/>
    </row>
    <row r="272">
      <c r="K272" s="6" t="n"/>
    </row>
    <row r="273">
      <c r="K273" s="6" t="n"/>
    </row>
    <row r="274">
      <c r="K274" s="6" t="n"/>
    </row>
    <row r="275">
      <c r="K275" s="6" t="n"/>
    </row>
    <row r="276">
      <c r="K276" s="6" t="n"/>
    </row>
    <row r="277">
      <c r="K277" s="6" t="n"/>
    </row>
    <row r="278">
      <c r="K278" s="6" t="n"/>
    </row>
    <row r="279">
      <c r="K279" s="6" t="n"/>
    </row>
    <row r="280">
      <c r="K280" s="6" t="n"/>
    </row>
    <row r="281">
      <c r="K281" s="6" t="n"/>
    </row>
    <row r="282">
      <c r="K282" s="6" t="n"/>
    </row>
    <row r="283">
      <c r="K283" s="6" t="n"/>
    </row>
    <row r="284">
      <c r="K284" s="6" t="n"/>
    </row>
    <row r="285">
      <c r="K285" s="6" t="n"/>
    </row>
    <row r="286">
      <c r="K286" s="6" t="n"/>
    </row>
    <row r="287">
      <c r="K287" s="6" t="n"/>
    </row>
    <row r="288">
      <c r="K288" s="6" t="n"/>
    </row>
    <row r="289">
      <c r="K289" s="6" t="n"/>
    </row>
    <row r="290">
      <c r="K290" s="6" t="n"/>
    </row>
    <row r="291">
      <c r="K291" s="6" t="n"/>
    </row>
    <row r="292">
      <c r="K292" s="6" t="n"/>
    </row>
    <row r="293">
      <c r="K293" s="6" t="n"/>
    </row>
    <row r="294">
      <c r="K294" s="6" t="n"/>
    </row>
    <row r="295">
      <c r="K295" s="6" t="n"/>
    </row>
    <row r="296">
      <c r="K296" s="6" t="n"/>
    </row>
    <row r="297">
      <c r="K297" s="6" t="n"/>
    </row>
    <row r="298">
      <c r="K298" s="6" t="n"/>
    </row>
    <row r="299">
      <c r="K299" s="6" t="n"/>
    </row>
    <row r="300">
      <c r="K300" s="6" t="n"/>
    </row>
    <row r="301">
      <c r="K301" s="6" t="n"/>
    </row>
    <row r="302">
      <c r="K302" s="6" t="n"/>
    </row>
    <row r="303">
      <c r="K303" s="6" t="n"/>
    </row>
    <row r="304">
      <c r="K304" s="6" t="n"/>
    </row>
    <row r="305">
      <c r="K305" s="6" t="n"/>
    </row>
    <row r="306">
      <c r="K306" s="6" t="n"/>
    </row>
    <row r="307">
      <c r="K307" s="6" t="n"/>
    </row>
    <row r="308">
      <c r="K308" s="6" t="n"/>
    </row>
    <row r="309">
      <c r="K309" s="6" t="n"/>
    </row>
    <row r="310">
      <c r="K310" s="6" t="n"/>
    </row>
    <row r="311">
      <c r="K311" s="6" t="n"/>
    </row>
    <row r="312">
      <c r="K312" s="6" t="n"/>
    </row>
    <row r="313">
      <c r="K313" s="6" t="n"/>
    </row>
    <row r="314">
      <c r="K314" s="6" t="n"/>
    </row>
    <row r="315">
      <c r="K315" s="6" t="n"/>
    </row>
    <row r="316">
      <c r="K316" s="6" t="n"/>
    </row>
    <row r="317">
      <c r="K317" s="6" t="n"/>
    </row>
    <row r="318">
      <c r="K318" s="6" t="n"/>
    </row>
    <row r="319">
      <c r="K319" s="6" t="n"/>
    </row>
    <row r="320">
      <c r="K320" s="6" t="n"/>
    </row>
    <row r="321">
      <c r="K321" s="6" t="n"/>
    </row>
    <row r="322">
      <c r="K322" s="6" t="n"/>
    </row>
    <row r="323">
      <c r="K323" s="6" t="n"/>
    </row>
    <row r="324">
      <c r="K324" s="6" t="n"/>
    </row>
    <row r="325">
      <c r="K325" s="6" t="n"/>
    </row>
    <row r="326">
      <c r="K326" s="6" t="n"/>
    </row>
    <row r="327">
      <c r="K327" s="6" t="n"/>
    </row>
    <row r="328">
      <c r="K328" s="6" t="n"/>
    </row>
    <row r="329">
      <c r="K329" s="6" t="n"/>
    </row>
    <row r="330">
      <c r="K330" s="6" t="n"/>
    </row>
    <row r="331">
      <c r="K331" s="6" t="n"/>
    </row>
    <row r="332">
      <c r="K332" s="6" t="n"/>
    </row>
    <row r="333">
      <c r="K333" s="6" t="n"/>
    </row>
    <row r="334">
      <c r="K334" s="6" t="n"/>
    </row>
    <row r="335">
      <c r="K335" s="6" t="n"/>
    </row>
    <row r="336">
      <c r="K336" s="6" t="n"/>
    </row>
    <row r="337">
      <c r="K337" s="6" t="n"/>
    </row>
    <row r="338">
      <c r="K338" s="6" t="n"/>
    </row>
    <row r="339">
      <c r="K339" s="6" t="n"/>
    </row>
    <row r="340">
      <c r="K340" s="6" t="n"/>
    </row>
    <row r="341">
      <c r="K341" s="6" t="n"/>
    </row>
    <row r="342">
      <c r="K342" s="6" t="n"/>
    </row>
    <row r="343">
      <c r="K343" s="6" t="n"/>
    </row>
    <row r="344">
      <c r="K344" s="6" t="n"/>
    </row>
    <row r="345">
      <c r="K345" s="6" t="n"/>
    </row>
    <row r="346">
      <c r="K346" s="6" t="n"/>
    </row>
    <row r="347">
      <c r="K347" s="6" t="n"/>
    </row>
    <row r="348">
      <c r="K348" s="6" t="n"/>
    </row>
    <row r="349">
      <c r="K349" s="6" t="n"/>
    </row>
    <row r="350">
      <c r="K350" s="6" t="n"/>
    </row>
    <row r="351">
      <c r="K351" s="6" t="n"/>
    </row>
    <row r="352">
      <c r="K352" s="6" t="n"/>
    </row>
    <row r="353">
      <c r="K353" s="6" t="n"/>
    </row>
    <row r="354">
      <c r="K354" s="6" t="n"/>
    </row>
    <row r="355">
      <c r="K355" s="6" t="n"/>
    </row>
    <row r="356">
      <c r="K356" s="6" t="n"/>
    </row>
    <row r="357">
      <c r="K357" s="6" t="n"/>
    </row>
    <row r="358">
      <c r="K358" s="6" t="n"/>
    </row>
    <row r="359">
      <c r="K359" s="6" t="n"/>
    </row>
    <row r="360">
      <c r="K360" s="6" t="n"/>
    </row>
    <row r="361">
      <c r="K361" s="6" t="n"/>
    </row>
    <row r="362">
      <c r="K362" s="6" t="n"/>
    </row>
    <row r="363">
      <c r="K363" s="6" t="n"/>
    </row>
    <row r="364">
      <c r="K364" s="6" t="n"/>
    </row>
    <row r="365">
      <c r="K365" s="6" t="n"/>
    </row>
    <row r="366">
      <c r="K366" s="6" t="n"/>
    </row>
    <row r="367">
      <c r="K367" s="6" t="n"/>
    </row>
    <row r="368">
      <c r="K368" s="6" t="n"/>
    </row>
    <row r="369">
      <c r="K369" s="6" t="n"/>
    </row>
    <row r="370">
      <c r="K370" s="6" t="n"/>
    </row>
    <row r="371">
      <c r="K371" s="6" t="n"/>
    </row>
    <row r="372">
      <c r="K372" s="6" t="n"/>
    </row>
    <row r="373">
      <c r="K373" s="6" t="n"/>
    </row>
    <row r="374">
      <c r="K374" s="6" t="n"/>
    </row>
    <row r="375">
      <c r="K375" s="6" t="n"/>
    </row>
    <row r="376">
      <c r="K376" s="6" t="n"/>
    </row>
    <row r="377">
      <c r="K377" s="6" t="n"/>
    </row>
    <row r="378">
      <c r="K378" s="6" t="n"/>
    </row>
    <row r="379">
      <c r="K379" s="6" t="n"/>
    </row>
    <row r="380">
      <c r="K380" s="6" t="n"/>
    </row>
    <row r="381">
      <c r="K381" s="6" t="n"/>
    </row>
    <row r="382">
      <c r="K382" s="6" t="n"/>
    </row>
    <row r="383">
      <c r="K383" s="6" t="n"/>
    </row>
    <row r="384">
      <c r="K384" s="6" t="n"/>
    </row>
    <row r="385">
      <c r="K385" s="6" t="n"/>
    </row>
    <row r="386">
      <c r="K386" s="6" t="n"/>
    </row>
    <row r="387">
      <c r="K387" s="6" t="n"/>
    </row>
    <row r="388">
      <c r="K388" s="6" t="n"/>
    </row>
    <row r="389">
      <c r="K389" s="6" t="n"/>
    </row>
    <row r="390">
      <c r="K390" s="6" t="n"/>
    </row>
    <row r="391">
      <c r="K391" s="6" t="n"/>
    </row>
    <row r="392">
      <c r="K392" s="6" t="n"/>
    </row>
    <row r="393">
      <c r="K393" s="6" t="n"/>
    </row>
    <row r="394">
      <c r="K394" s="6" t="n"/>
    </row>
    <row r="395">
      <c r="K395" s="6" t="n"/>
    </row>
    <row r="396">
      <c r="K396" s="6" t="n"/>
    </row>
    <row r="397">
      <c r="K397" s="6" t="n"/>
    </row>
    <row r="398">
      <c r="K398" s="6" t="n"/>
    </row>
    <row r="399">
      <c r="K399" s="6" t="n"/>
    </row>
    <row r="400">
      <c r="K400" s="6" t="n"/>
    </row>
    <row r="401">
      <c r="K401" s="6" t="n"/>
    </row>
    <row r="402">
      <c r="K402" s="6" t="n"/>
    </row>
    <row r="403">
      <c r="K403" s="6" t="n"/>
    </row>
    <row r="404">
      <c r="K404" s="6" t="n"/>
    </row>
    <row r="405">
      <c r="K405" s="6" t="n"/>
    </row>
    <row r="406">
      <c r="K406" s="6" t="n"/>
    </row>
    <row r="407">
      <c r="K407" s="6" t="n"/>
    </row>
    <row r="408">
      <c r="K408" s="6" t="n"/>
    </row>
    <row r="409">
      <c r="K409" s="6" t="n"/>
    </row>
    <row r="410">
      <c r="K410" s="6" t="n"/>
    </row>
    <row r="411">
      <c r="K411" s="6" t="n"/>
    </row>
    <row r="412">
      <c r="K412" s="6" t="n"/>
    </row>
    <row r="413">
      <c r="K413" s="6" t="n"/>
    </row>
    <row r="414">
      <c r="K414" s="6" t="n"/>
    </row>
    <row r="415">
      <c r="K415" s="6" t="n"/>
    </row>
    <row r="416">
      <c r="K416" s="6" t="n"/>
    </row>
    <row r="417">
      <c r="K417" s="6" t="n"/>
    </row>
    <row r="418">
      <c r="K418" s="6" t="n"/>
    </row>
    <row r="419">
      <c r="K419" s="6" t="n"/>
    </row>
    <row r="420">
      <c r="K420" s="6" t="n"/>
    </row>
    <row r="421">
      <c r="K421" s="6" t="n"/>
    </row>
    <row r="422">
      <c r="K422" s="6" t="n"/>
    </row>
    <row r="423">
      <c r="K423" s="6" t="n"/>
    </row>
    <row r="424">
      <c r="K424" s="6" t="n"/>
    </row>
    <row r="425">
      <c r="K425" s="6" t="n"/>
    </row>
    <row r="426">
      <c r="K426" s="6" t="n"/>
    </row>
    <row r="427">
      <c r="K427" s="6" t="n"/>
    </row>
    <row r="428">
      <c r="K428" s="6" t="n"/>
    </row>
    <row r="429">
      <c r="K429" s="6" t="n"/>
    </row>
    <row r="430">
      <c r="K430" s="6" t="n"/>
    </row>
    <row r="431">
      <c r="K431" s="6" t="n"/>
    </row>
    <row r="432">
      <c r="K432" s="6" t="n"/>
    </row>
    <row r="433">
      <c r="K433" s="6" t="n"/>
    </row>
    <row r="434">
      <c r="K434" s="6" t="n"/>
    </row>
    <row r="435">
      <c r="K435" s="6" t="n"/>
    </row>
    <row r="436">
      <c r="K436" s="6" t="n"/>
    </row>
    <row r="437">
      <c r="K437" s="6" t="n"/>
    </row>
    <row r="438">
      <c r="K438" s="6" t="n"/>
    </row>
    <row r="439">
      <c r="K439" s="6" t="n"/>
    </row>
    <row r="440">
      <c r="K440" s="6" t="n"/>
    </row>
    <row r="441">
      <c r="K441" s="6" t="n"/>
    </row>
    <row r="442">
      <c r="K442" s="6" t="n"/>
    </row>
    <row r="443">
      <c r="K443" s="6" t="n"/>
    </row>
    <row r="444">
      <c r="K444" s="6" t="n"/>
    </row>
    <row r="445">
      <c r="K445" s="6" t="n"/>
    </row>
    <row r="446">
      <c r="K446" s="6" t="n"/>
    </row>
    <row r="447">
      <c r="K447" s="6" t="n"/>
    </row>
    <row r="448">
      <c r="K448" s="6" t="n"/>
    </row>
    <row r="449">
      <c r="K449" s="6" t="n"/>
    </row>
    <row r="450">
      <c r="K450" s="6" t="n"/>
    </row>
    <row r="451">
      <c r="K451" s="6" t="n"/>
    </row>
    <row r="452">
      <c r="K452" s="6" t="n"/>
    </row>
    <row r="453">
      <c r="K453" s="6" t="n"/>
    </row>
    <row r="454">
      <c r="K454" s="6" t="n"/>
    </row>
    <row r="455">
      <c r="K455" s="6" t="n"/>
    </row>
    <row r="456">
      <c r="K456" s="6" t="n"/>
    </row>
    <row r="457">
      <c r="K457" s="6" t="n"/>
    </row>
    <row r="458">
      <c r="K458" s="6" t="n"/>
    </row>
    <row r="459">
      <c r="K459" s="6" t="n"/>
    </row>
    <row r="460">
      <c r="K460" s="6" t="n"/>
    </row>
    <row r="461">
      <c r="K461" s="6" t="n"/>
    </row>
    <row r="462">
      <c r="K462" s="6" t="n"/>
    </row>
    <row r="463">
      <c r="K463" s="6" t="n"/>
    </row>
    <row r="464">
      <c r="K464" s="6" t="n"/>
    </row>
    <row r="465">
      <c r="K465" s="6" t="n"/>
    </row>
    <row r="466">
      <c r="K466" s="6" t="n"/>
    </row>
    <row r="467">
      <c r="K467" s="6" t="n"/>
    </row>
    <row r="468">
      <c r="K468" s="6" t="n"/>
    </row>
    <row r="469">
      <c r="K469" s="6" t="n"/>
    </row>
    <row r="470">
      <c r="K470" s="6" t="n"/>
    </row>
    <row r="471">
      <c r="K471" s="6" t="n"/>
    </row>
    <row r="472">
      <c r="K472" s="6" t="n"/>
    </row>
    <row r="473">
      <c r="K473" s="6" t="n"/>
    </row>
    <row r="474">
      <c r="K474" s="6" t="n"/>
    </row>
    <row r="475">
      <c r="K475" s="6" t="n"/>
    </row>
    <row r="476">
      <c r="K476" s="6" t="n"/>
    </row>
    <row r="477">
      <c r="K477" s="6" t="n"/>
    </row>
    <row r="478">
      <c r="K478" s="6" t="n"/>
    </row>
    <row r="479">
      <c r="K479" s="6" t="n"/>
    </row>
    <row r="480">
      <c r="K480" s="6" t="n"/>
    </row>
    <row r="481">
      <c r="K481" s="6" t="n"/>
    </row>
    <row r="482">
      <c r="K482" s="6" t="n"/>
    </row>
    <row r="483">
      <c r="K483" s="6" t="n"/>
    </row>
    <row r="484">
      <c r="K484" s="6" t="n"/>
    </row>
    <row r="485">
      <c r="K485" s="6" t="n"/>
    </row>
    <row r="486">
      <c r="K486" s="6" t="n"/>
    </row>
    <row r="487">
      <c r="K487" s="6" t="n"/>
    </row>
    <row r="488">
      <c r="K488" s="6" t="n"/>
    </row>
    <row r="489">
      <c r="K489" s="6" t="n"/>
    </row>
    <row r="490">
      <c r="K490" s="6" t="n"/>
    </row>
    <row r="491">
      <c r="K491" s="6" t="n"/>
    </row>
    <row r="492">
      <c r="K492" s="6" t="n"/>
    </row>
    <row r="493">
      <c r="K493" s="6" t="n"/>
    </row>
    <row r="494">
      <c r="K494" s="6" t="n"/>
    </row>
    <row r="495">
      <c r="K495" s="6" t="n"/>
    </row>
    <row r="496">
      <c r="K496" s="6" t="n"/>
    </row>
    <row r="497">
      <c r="K497" s="6" t="n"/>
    </row>
    <row r="498">
      <c r="K498" s="6" t="n"/>
    </row>
    <row r="499">
      <c r="K499" s="6" t="n"/>
    </row>
  </sheetData>
  <conditionalFormatting sqref="C4:H500">
    <cfRule type="expression" priority="1" dxfId="0">
      <formula>AND($B4&lt;&gt;"",ISBLANK(C4))</formula>
    </cfRule>
  </conditionalFormatting>
  <conditionalFormatting sqref="J4:K500">
    <cfRule type="expression" priority="2" dxfId="0">
      <formula>AND($B4&lt;&gt;"",ISBLANK(J4))</formula>
    </cfRule>
  </conditionalFormatting>
  <dataValidations count="2">
    <dataValidation sqref="L4:L500" showDropDown="0" showInputMessage="0" showErrorMessage="0" allowBlank="1" type="list">
      <formula1>"Актуален,Нужно уточнить,Сменился контакт,Не работаем"</formula1>
    </dataValidation>
    <dataValidation sqref="K4:K500" showDropDown="0" showInputMessage="0" showErrorMessage="1" allowBlank="1" error="Введите дату, например 30.09.2026" type="date" operator="greaterThan">
      <formula1>43831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</cols>
  <sheetData>
    <row r="1">
      <c r="A1" s="7" t="inlineStr">
        <is>
          <t>Сколько полей не заполнено</t>
        </is>
      </c>
    </row>
    <row r="2">
      <c r="A2" s="8" t="inlineStr">
        <is>
          <t>Поле</t>
        </is>
      </c>
      <c r="B2" s="8" t="inlineStr">
        <is>
          <t>Пусто</t>
        </is>
      </c>
      <c r="C2" s="8" t="inlineStr">
        <is>
          <t>Всего контактов</t>
        </is>
      </c>
    </row>
    <row r="3">
      <c r="A3" t="inlineStr">
        <is>
          <t>Поставщик (юрлицо)</t>
        </is>
      </c>
      <c r="B3">
        <f>COUNTIFS(Контакты!$B$4:$B$500,"&lt;&gt;",Контакты!C$4:C$500,"")</f>
        <v/>
      </c>
      <c r="C3">
        <f>COUNTA(Контакты!$B$4:$B$500)</f>
        <v/>
      </c>
    </row>
    <row r="4">
      <c r="A4" t="inlineStr">
        <is>
          <t>Должность</t>
        </is>
      </c>
      <c r="B4">
        <f>COUNTIFS(Контакты!$B$4:$B$500,"&lt;&gt;",Контакты!E$4:E$500,"")</f>
        <v/>
      </c>
      <c r="C4">
        <f>COUNTA(Контакты!$B$4:$B$500)</f>
        <v/>
      </c>
    </row>
    <row r="5">
      <c r="A5" t="inlineStr">
        <is>
          <t>Рабочий телефон</t>
        </is>
      </c>
      <c r="B5">
        <f>COUNTIFS(Контакты!$B$4:$B$500,"&lt;&gt;",Контакты!F$4:F$500,"")</f>
        <v/>
      </c>
      <c r="C5">
        <f>COUNTA(Контакты!$B$4:$B$500)</f>
        <v/>
      </c>
    </row>
    <row r="6">
      <c r="A6" t="inlineStr">
        <is>
          <t>Мобильный телефон</t>
        </is>
      </c>
      <c r="B6">
        <f>COUNTIFS(Контакты!$B$4:$B$500,"&lt;&gt;",Контакты!G$4:G$500,"")</f>
        <v/>
      </c>
      <c r="C6">
        <f>COUNTA(Контакты!$B$4:$B$500)</f>
        <v/>
      </c>
    </row>
    <row r="7">
      <c r="A7" t="inlineStr">
        <is>
          <t>E-mail</t>
        </is>
      </c>
      <c r="B7">
        <f>COUNTIFS(Контакты!$B$4:$B$500,"&lt;&gt;",Контакты!H$4:H$500,"")</f>
        <v/>
      </c>
      <c r="C7">
        <f>COUNTA(Контакты!$B$4:$B$500)</f>
        <v/>
      </c>
    </row>
    <row r="8">
      <c r="A8" t="inlineStr">
        <is>
          <t>Наш ответственный менеджер</t>
        </is>
      </c>
      <c r="B8">
        <f>COUNTIFS(Контакты!$B$4:$B$500,"&lt;&gt;",Контакты!J$4:J$500,"")</f>
        <v/>
      </c>
      <c r="C8">
        <f>COUNTA(Контакты!$B$4:$B$500)</f>
        <v/>
      </c>
    </row>
    <row r="9">
      <c r="A9" t="inlineStr">
        <is>
          <t>Дата актуализации</t>
        </is>
      </c>
      <c r="B9">
        <f>COUNTIFS(Контакты!$B$4:$B$500,"&lt;&gt;",Контакты!K$4:K$500,"")</f>
        <v/>
      </c>
      <c r="C9">
        <f>COUNTA(Контакты!$B$4:$B$500)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2026-09-30T16:47:15Z</dcterms:created>
  <dcterms:modified xsi:type="dcterms:W3CDTF">2026-09-30T16:47:33Z</dcterms:modified>
</cp:coreProperties>
</file>